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bureauveritas-my.sharepoint.com/personal/yesid_cruz_bureauveritas_com/Documents/Documentos/Proyectos GRB/1- CONTROL QA/Seguimiento QA/"/>
    </mc:Choice>
  </mc:AlternateContent>
  <xr:revisionPtr revIDLastSave="1375" documentId="13_ncr:1_{43847561-E052-474E-9484-85490C6E37A8}" xr6:coauthVersionLast="47" xr6:coauthVersionMax="47" xr10:uidLastSave="{34A62B85-5F74-4821-82A5-1D8B94C30A33}"/>
  <bookViews>
    <workbookView xWindow="-110" yWindow="-110" windowWidth="19420" windowHeight="11500" tabRatio="500" firstSheet="2" activeTab="3" xr2:uid="{00000000-000D-0000-FFFF-FFFF00000000}"/>
  </bookViews>
  <sheets>
    <sheet name="DASHBOARD_PRO" sheetId="1" r:id="rId1"/>
    <sheet name="MASTER_ACTIVIDADES" sheetId="2" r:id="rId2"/>
    <sheet name="QC_DETALLE" sheetId="3" r:id="rId3"/>
    <sheet name="AVANCE" sheetId="4" r:id="rId4"/>
    <sheet name="PLAN_SEMANAL" sheetId="5" r:id="rId5"/>
    <sheet name="CERTIFICADOS" sheetId="6" r:id="rId6"/>
    <sheet name="CONSOLIDADO" sheetId="7" r:id="rId7"/>
    <sheet name="REGISTRO_NC" sheetId="8" r:id="rId8"/>
    <sheet name="CALC_DATA" sheetId="9" r:id="rId9"/>
    <sheet name="INSTRUCCIONES" sheetId="10" r:id="rId10"/>
  </sheets>
  <definedNames>
    <definedName name="_xlnm._FilterDatabase" localSheetId="1" hidden="1">MASTER_ACTIVIDADES!$A$2:$N$28</definedName>
    <definedName name="_xlnm._FilterDatabase" localSheetId="7" hidden="1">'REGISTRO_NC'!$A$2:$K$2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4" l="1" a="1"/>
  <c r="D3" i="4" s="1"/>
  <c r="D4" i="4" a="1"/>
  <c r="D4" i="4" s="1"/>
  <c r="D5" i="4" a="1"/>
  <c r="D5" i="4" s="1"/>
  <c r="D6" i="4" a="1"/>
  <c r="D6" i="4" s="1"/>
  <c r="D7" i="4" a="1"/>
  <c r="D7" i="4" s="1"/>
  <c r="D8" i="4" a="1"/>
  <c r="D8" i="4" s="1"/>
  <c r="D9" i="4" a="1"/>
  <c r="D9" i="4" s="1"/>
  <c r="D10" i="4" a="1"/>
  <c r="D10" i="4" s="1"/>
  <c r="D11" i="4" a="1"/>
  <c r="D11" i="4" s="1"/>
  <c r="D12" i="4" a="1"/>
  <c r="D12" i="4" s="1"/>
  <c r="D13" i="4" a="1"/>
  <c r="D13" i="4"/>
  <c r="D14" i="4" a="1"/>
  <c r="D14" i="4" s="1"/>
  <c r="D15" i="4" a="1"/>
  <c r="D15" i="4" s="1"/>
  <c r="D16" i="4" a="1"/>
  <c r="D16" i="4" s="1"/>
  <c r="D17" i="4" a="1"/>
  <c r="D17" i="4" s="1"/>
  <c r="D18" i="4" a="1"/>
  <c r="D18" i="4" s="1"/>
  <c r="D19" i="4" a="1"/>
  <c r="D19" i="4" s="1"/>
  <c r="D20" i="4" a="1"/>
  <c r="D20" i="4" s="1"/>
  <c r="D21" i="4" a="1"/>
  <c r="D21" i="4" s="1"/>
  <c r="D22" i="4" a="1"/>
  <c r="D22" i="4" s="1"/>
  <c r="D23" i="4" a="1"/>
  <c r="D23" i="4" s="1"/>
  <c r="D24" i="4" a="1"/>
  <c r="D24" i="4" s="1"/>
  <c r="D25" i="4" a="1"/>
  <c r="D25" i="4" s="1"/>
  <c r="K655" i="3"/>
  <c r="K654" i="3"/>
  <c r="K653" i="3"/>
  <c r="K652" i="3"/>
  <c r="K651" i="3"/>
  <c r="K650" i="3"/>
  <c r="J655" i="3"/>
  <c r="J654" i="3"/>
  <c r="J653" i="3"/>
  <c r="J652" i="3"/>
  <c r="J651" i="3"/>
  <c r="J650" i="3"/>
  <c r="K649" i="3"/>
  <c r="K648" i="3"/>
  <c r="K647" i="3"/>
  <c r="K646" i="3"/>
  <c r="K645" i="3"/>
  <c r="K644" i="3"/>
  <c r="K643" i="3"/>
  <c r="K642" i="3"/>
  <c r="K641" i="3"/>
  <c r="K640" i="3"/>
  <c r="K639" i="3"/>
  <c r="K638" i="3"/>
  <c r="K637" i="3"/>
  <c r="K636" i="3"/>
  <c r="K635" i="3"/>
  <c r="K634" i="3"/>
  <c r="K633" i="3"/>
  <c r="J649" i="3"/>
  <c r="J648" i="3"/>
  <c r="J647" i="3"/>
  <c r="J646" i="3"/>
  <c r="J645" i="3"/>
  <c r="J644" i="3"/>
  <c r="J643" i="3"/>
  <c r="J642" i="3"/>
  <c r="J641" i="3"/>
  <c r="J640" i="3"/>
  <c r="J639" i="3"/>
  <c r="J638" i="3"/>
  <c r="J637" i="3"/>
  <c r="J636" i="3"/>
  <c r="J635" i="3"/>
  <c r="J634" i="3"/>
  <c r="J633" i="3"/>
  <c r="K624" i="3"/>
  <c r="K625" i="3"/>
  <c r="K626" i="3"/>
  <c r="K627" i="3"/>
  <c r="K628" i="3"/>
  <c r="K629" i="3"/>
  <c r="K630" i="3"/>
  <c r="K631" i="3"/>
  <c r="K632" i="3"/>
  <c r="J624" i="3"/>
  <c r="J625" i="3"/>
  <c r="J626" i="3"/>
  <c r="J627" i="3"/>
  <c r="J628" i="3"/>
  <c r="J629" i="3"/>
  <c r="J630" i="3"/>
  <c r="J631" i="3"/>
  <c r="J632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K298" i="3"/>
  <c r="K299" i="3"/>
  <c r="K300" i="3"/>
  <c r="K301" i="3"/>
  <c r="K302" i="3"/>
  <c r="K303" i="3"/>
  <c r="K304" i="3"/>
  <c r="K305" i="3"/>
  <c r="K306" i="3"/>
  <c r="K307" i="3"/>
  <c r="K308" i="3"/>
  <c r="J298" i="3"/>
  <c r="J299" i="3"/>
  <c r="J300" i="3"/>
  <c r="J301" i="3"/>
  <c r="J302" i="3"/>
  <c r="J303" i="3"/>
  <c r="J304" i="3"/>
  <c r="J305" i="3"/>
  <c r="J306" i="3"/>
  <c r="J307" i="3"/>
  <c r="J308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K274" i="3"/>
  <c r="K275" i="3"/>
  <c r="K276" i="3"/>
  <c r="K277" i="3"/>
  <c r="K278" i="3"/>
  <c r="K279" i="3"/>
  <c r="K280" i="3"/>
  <c r="K281" i="3"/>
  <c r="K282" i="3"/>
  <c r="J274" i="3"/>
  <c r="J275" i="3"/>
  <c r="J276" i="3"/>
  <c r="J277" i="3"/>
  <c r="J278" i="3"/>
  <c r="J279" i="3"/>
  <c r="J280" i="3"/>
  <c r="J281" i="3"/>
  <c r="J28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K127" i="3" l="1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K126" i="3" l="1"/>
  <c r="J126" i="3"/>
  <c r="K124" i="3"/>
  <c r="K125" i="3"/>
  <c r="J124" i="3"/>
  <c r="J125" i="3"/>
  <c r="K123" i="3"/>
  <c r="J123" i="3"/>
  <c r="G16" i="4"/>
  <c r="E16" i="4" a="1"/>
  <c r="E16" i="4" s="1"/>
  <c r="K121" i="3"/>
  <c r="K122" i="3"/>
  <c r="J121" i="3"/>
  <c r="J122" i="3"/>
  <c r="K120" i="3"/>
  <c r="J120" i="3"/>
  <c r="G15" i="4"/>
  <c r="E15" i="4" a="1"/>
  <c r="E15" i="4" s="1"/>
  <c r="K119" i="3"/>
  <c r="J119" i="3"/>
  <c r="G14" i="4"/>
  <c r="E14" i="4" a="1"/>
  <c r="E14" i="4" s="1"/>
  <c r="K118" i="3"/>
  <c r="J118" i="3"/>
  <c r="G12" i="4"/>
  <c r="G13" i="4"/>
  <c r="E12" i="4" a="1"/>
  <c r="E12" i="4" s="1"/>
  <c r="E13" i="4" a="1"/>
  <c r="E13" i="4" s="1"/>
  <c r="K117" i="3"/>
  <c r="J117" i="3"/>
  <c r="K43" i="3"/>
  <c r="J43" i="3"/>
  <c r="K42" i="3"/>
  <c r="J42" i="3"/>
  <c r="K41" i="3"/>
  <c r="J41" i="3"/>
  <c r="K40" i="3"/>
  <c r="J40" i="3"/>
  <c r="E25" i="4" a="1"/>
  <c r="E25" i="4" s="1"/>
  <c r="E24" i="4" a="1"/>
  <c r="E24" i="4" s="1"/>
  <c r="E23" i="4" a="1"/>
  <c r="E23" i="4" s="1"/>
  <c r="E22" i="4" a="1"/>
  <c r="E22" i="4" s="1"/>
  <c r="E21" i="4" a="1"/>
  <c r="E21" i="4" s="1"/>
  <c r="E20" i="4" a="1"/>
  <c r="E20" i="4" s="1"/>
  <c r="E19" i="4" a="1"/>
  <c r="E19" i="4" s="1"/>
  <c r="E18" i="4" a="1"/>
  <c r="E18" i="4" s="1"/>
  <c r="E17" i="4" a="1"/>
  <c r="E17" i="4" s="1"/>
  <c r="E11" i="4" a="1"/>
  <c r="E11" i="4" s="1"/>
  <c r="E10" i="4" a="1"/>
  <c r="E10" i="4" s="1"/>
  <c r="E9" i="4" a="1"/>
  <c r="E9" i="4" s="1"/>
  <c r="E8" i="4" a="1"/>
  <c r="E8" i="4" s="1"/>
  <c r="E7" i="4" a="1"/>
  <c r="E7" i="4" s="1"/>
  <c r="E6" i="4" a="1"/>
  <c r="E6" i="4" s="1"/>
  <c r="E5" i="4" a="1"/>
  <c r="E5" i="4" s="1"/>
  <c r="E4" i="4" a="1"/>
  <c r="E4" i="4" s="1"/>
  <c r="E3" i="4" a="1"/>
  <c r="E3" i="4" s="1"/>
  <c r="G11" i="4"/>
  <c r="B22" i="9"/>
  <c r="K13" i="6"/>
  <c r="J13" i="6"/>
  <c r="H13" i="6"/>
  <c r="H12" i="6"/>
  <c r="K12" i="6" s="1"/>
  <c r="C5" i="5"/>
  <c r="C6" i="5"/>
  <c r="C7" i="5"/>
  <c r="C8" i="5"/>
  <c r="C9" i="5"/>
  <c r="C10" i="5"/>
  <c r="C11" i="5"/>
  <c r="K106" i="3"/>
  <c r="K107" i="3"/>
  <c r="K108" i="3"/>
  <c r="K109" i="3"/>
  <c r="K110" i="3"/>
  <c r="K111" i="3"/>
  <c r="K112" i="3"/>
  <c r="K113" i="3"/>
  <c r="K114" i="3"/>
  <c r="K115" i="3"/>
  <c r="K116" i="3"/>
  <c r="J106" i="3"/>
  <c r="J107" i="3"/>
  <c r="J108" i="3"/>
  <c r="J109" i="3"/>
  <c r="J110" i="3"/>
  <c r="J111" i="3"/>
  <c r="J112" i="3"/>
  <c r="J113" i="3"/>
  <c r="J114" i="3"/>
  <c r="J115" i="3"/>
  <c r="J116" i="3"/>
  <c r="K103" i="3"/>
  <c r="K104" i="3"/>
  <c r="K105" i="3"/>
  <c r="J103" i="3"/>
  <c r="J104" i="3"/>
  <c r="J105" i="3"/>
  <c r="K100" i="3"/>
  <c r="K101" i="3"/>
  <c r="K102" i="3"/>
  <c r="J100" i="3"/>
  <c r="J101" i="3"/>
  <c r="J102" i="3"/>
  <c r="K99" i="3"/>
  <c r="J99" i="3"/>
  <c r="I16" i="4" l="1"/>
  <c r="F16" i="4"/>
  <c r="H16" i="4" s="1"/>
  <c r="F15" i="4"/>
  <c r="H15" i="4" s="1"/>
  <c r="I15" i="4"/>
  <c r="I14" i="4"/>
  <c r="F14" i="4"/>
  <c r="I13" i="4"/>
  <c r="I12" i="4"/>
  <c r="F12" i="4"/>
  <c r="J12" i="4" s="1"/>
  <c r="F13" i="4"/>
  <c r="J13" i="4" s="1"/>
  <c r="F11" i="4"/>
  <c r="J11" i="4" s="1"/>
  <c r="I11" i="4"/>
  <c r="J12" i="6"/>
  <c r="K94" i="3"/>
  <c r="K95" i="3"/>
  <c r="K96" i="3"/>
  <c r="K97" i="3"/>
  <c r="K98" i="3"/>
  <c r="J94" i="3"/>
  <c r="J95" i="3"/>
  <c r="J96" i="3"/>
  <c r="J97" i="3"/>
  <c r="J98" i="3"/>
  <c r="K84" i="3"/>
  <c r="K85" i="3"/>
  <c r="K86" i="3"/>
  <c r="K87" i="3"/>
  <c r="K88" i="3"/>
  <c r="K89" i="3"/>
  <c r="K90" i="3"/>
  <c r="K91" i="3"/>
  <c r="K92" i="3"/>
  <c r="K93" i="3"/>
  <c r="J84" i="3"/>
  <c r="J85" i="3"/>
  <c r="J86" i="3"/>
  <c r="J87" i="3"/>
  <c r="J88" i="3"/>
  <c r="J89" i="3"/>
  <c r="J90" i="3"/>
  <c r="J91" i="3"/>
  <c r="J92" i="3"/>
  <c r="J93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59" i="3"/>
  <c r="K59" i="3"/>
  <c r="J16" i="4" l="1"/>
  <c r="J15" i="4"/>
  <c r="J14" i="4"/>
  <c r="H14" i="4"/>
  <c r="H12" i="4"/>
  <c r="H13" i="4"/>
  <c r="H11" i="4"/>
  <c r="K51" i="3"/>
  <c r="K52" i="3"/>
  <c r="K53" i="3"/>
  <c r="K54" i="3"/>
  <c r="K55" i="3"/>
  <c r="K56" i="3"/>
  <c r="K57" i="3"/>
  <c r="K58" i="3"/>
  <c r="K60" i="3"/>
  <c r="K61" i="3"/>
  <c r="J51" i="3"/>
  <c r="J52" i="3"/>
  <c r="J53" i="3"/>
  <c r="J54" i="3"/>
  <c r="J55" i="3"/>
  <c r="J56" i="3"/>
  <c r="J57" i="3"/>
  <c r="J58" i="3"/>
  <c r="J60" i="3"/>
  <c r="J61" i="3"/>
  <c r="K39" i="3"/>
  <c r="K44" i="3"/>
  <c r="K45" i="3"/>
  <c r="K46" i="3"/>
  <c r="K47" i="3"/>
  <c r="K48" i="3"/>
  <c r="K49" i="3"/>
  <c r="K50" i="3"/>
  <c r="J39" i="3"/>
  <c r="J44" i="3"/>
  <c r="J45" i="3"/>
  <c r="J46" i="3"/>
  <c r="J47" i="3"/>
  <c r="J48" i="3"/>
  <c r="J49" i="3"/>
  <c r="J50" i="3"/>
  <c r="C4" i="5" l="1"/>
  <c r="D16" i="9" s="1"/>
  <c r="A21" i="1" s="1"/>
  <c r="D17" i="9"/>
  <c r="A22" i="1" s="1"/>
  <c r="D18" i="9"/>
  <c r="A23" i="1" s="1"/>
  <c r="D19" i="9"/>
  <c r="A24" i="1" s="1"/>
  <c r="D20" i="9"/>
  <c r="A25" i="1" s="1"/>
  <c r="C3" i="5"/>
  <c r="D15" i="9" s="1"/>
  <c r="A20" i="1" s="1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" i="3"/>
  <c r="K3" i="3"/>
  <c r="J4" i="3"/>
  <c r="K4" i="3"/>
  <c r="J5" i="3"/>
  <c r="K5" i="3"/>
  <c r="J6" i="3"/>
  <c r="K6" i="3"/>
  <c r="J7" i="3"/>
  <c r="K7" i="3"/>
  <c r="J8" i="3"/>
  <c r="K8" i="3"/>
  <c r="J9" i="3"/>
  <c r="K9" i="3"/>
  <c r="J10" i="3"/>
  <c r="K10" i="3"/>
  <c r="J11" i="3"/>
  <c r="K11" i="3"/>
  <c r="B21" i="9" l="1"/>
  <c r="I7" i="1" s="1"/>
  <c r="F20" i="9"/>
  <c r="H34" i="1" s="1"/>
  <c r="E20" i="9"/>
  <c r="G34" i="1" s="1"/>
  <c r="F19" i="9"/>
  <c r="H33" i="1" s="1"/>
  <c r="E19" i="9"/>
  <c r="G33" i="1" s="1"/>
  <c r="F18" i="9"/>
  <c r="H32" i="1" s="1"/>
  <c r="E18" i="9"/>
  <c r="G32" i="1" s="1"/>
  <c r="F17" i="9"/>
  <c r="H31" i="1" s="1"/>
  <c r="E17" i="9"/>
  <c r="G31" i="1" s="1"/>
  <c r="F16" i="9"/>
  <c r="H30" i="1" s="1"/>
  <c r="E16" i="9"/>
  <c r="G30" i="1" s="1"/>
  <c r="F15" i="9"/>
  <c r="H29" i="1" s="1"/>
  <c r="E15" i="9"/>
  <c r="G29" i="1" s="1"/>
  <c r="D12" i="9"/>
  <c r="D12" i="7" s="1"/>
  <c r="C12" i="9"/>
  <c r="C12" i="7" s="1"/>
  <c r="D11" i="9"/>
  <c r="D11" i="7" s="1"/>
  <c r="C11" i="9"/>
  <c r="C11" i="7" s="1"/>
  <c r="D10" i="9"/>
  <c r="D10" i="7" s="1"/>
  <c r="C10" i="9"/>
  <c r="D9" i="9"/>
  <c r="D9" i="7" s="1"/>
  <c r="C9" i="9"/>
  <c r="C9" i="7" s="1"/>
  <c r="D8" i="9"/>
  <c r="D8" i="7" s="1"/>
  <c r="C8" i="9"/>
  <c r="C8" i="7" s="1"/>
  <c r="D7" i="9"/>
  <c r="C7" i="9"/>
  <c r="C7" i="7" s="1"/>
  <c r="D6" i="9"/>
  <c r="D6" i="7" s="1"/>
  <c r="C6" i="9"/>
  <c r="C5" i="9"/>
  <c r="C5" i="7" s="1"/>
  <c r="E15" i="1" s="1"/>
  <c r="C4" i="9"/>
  <c r="C4" i="7" s="1"/>
  <c r="E14" i="1" s="1"/>
  <c r="C3" i="9"/>
  <c r="C3" i="7" s="1"/>
  <c r="E13" i="1" s="1"/>
  <c r="B12" i="7"/>
  <c r="A12" i="7"/>
  <c r="B11" i="7"/>
  <c r="A11" i="7"/>
  <c r="B10" i="7"/>
  <c r="A10" i="7"/>
  <c r="B9" i="7"/>
  <c r="A9" i="7"/>
  <c r="B8" i="7"/>
  <c r="A8" i="7"/>
  <c r="B7" i="7"/>
  <c r="A7" i="7"/>
  <c r="B6" i="7"/>
  <c r="A6" i="7"/>
  <c r="B5" i="7"/>
  <c r="A5" i="7"/>
  <c r="B4" i="7"/>
  <c r="A4" i="7"/>
  <c r="B3" i="7"/>
  <c r="A3" i="7"/>
  <c r="H18" i="6"/>
  <c r="K18" i="6" s="1"/>
  <c r="H17" i="6"/>
  <c r="K17" i="6" s="1"/>
  <c r="H16" i="6"/>
  <c r="K16" i="6" s="1"/>
  <c r="H15" i="6"/>
  <c r="J15" i="6" s="1"/>
  <c r="H14" i="6"/>
  <c r="K14" i="6" s="1"/>
  <c r="H11" i="6"/>
  <c r="K11" i="6" s="1"/>
  <c r="H10" i="6"/>
  <c r="K10" i="6" s="1"/>
  <c r="H9" i="6"/>
  <c r="J9" i="6" s="1"/>
  <c r="H8" i="6"/>
  <c r="K8" i="6" s="1"/>
  <c r="H7" i="6"/>
  <c r="K7" i="6" s="1"/>
  <c r="H6" i="6"/>
  <c r="K6" i="6" s="1"/>
  <c r="H5" i="6"/>
  <c r="J5" i="6" s="1"/>
  <c r="H4" i="6"/>
  <c r="K4" i="6" s="1"/>
  <c r="H3" i="6"/>
  <c r="K3" i="6" s="1"/>
  <c r="H11" i="5"/>
  <c r="I11" i="5" s="1"/>
  <c r="G11" i="5"/>
  <c r="H10" i="5"/>
  <c r="I10" i="5" s="1"/>
  <c r="G10" i="5"/>
  <c r="H9" i="5"/>
  <c r="I9" i="5" s="1"/>
  <c r="G9" i="5"/>
  <c r="H8" i="5"/>
  <c r="I8" i="5" s="1"/>
  <c r="G8" i="5"/>
  <c r="H7" i="5"/>
  <c r="I7" i="5" s="1"/>
  <c r="G7" i="5"/>
  <c r="H6" i="5"/>
  <c r="I6" i="5" s="1"/>
  <c r="G6" i="5"/>
  <c r="H5" i="5"/>
  <c r="I5" i="5" s="1"/>
  <c r="G5" i="5"/>
  <c r="H4" i="5"/>
  <c r="I4" i="5" s="1"/>
  <c r="G4" i="5"/>
  <c r="H3" i="5"/>
  <c r="I3" i="5" s="1"/>
  <c r="G3" i="5"/>
  <c r="F3" i="4"/>
  <c r="K19" i="3"/>
  <c r="J19" i="3"/>
  <c r="K18" i="3"/>
  <c r="J18" i="3"/>
  <c r="K17" i="3"/>
  <c r="J17" i="3"/>
  <c r="K16" i="3"/>
  <c r="J16" i="3"/>
  <c r="K15" i="3"/>
  <c r="J15" i="3"/>
  <c r="K14" i="3"/>
  <c r="J14" i="3"/>
  <c r="K13" i="3"/>
  <c r="J13" i="3"/>
  <c r="K12" i="3"/>
  <c r="J12" i="3"/>
  <c r="G18" i="4"/>
  <c r="L25" i="1"/>
  <c r="K25" i="1"/>
  <c r="C25" i="1"/>
  <c r="B25" i="1"/>
  <c r="L24" i="1"/>
  <c r="K24" i="1"/>
  <c r="C24" i="1"/>
  <c r="B24" i="1"/>
  <c r="R23" i="1"/>
  <c r="L23" i="1"/>
  <c r="K23" i="1"/>
  <c r="C23" i="1"/>
  <c r="B23" i="1"/>
  <c r="L22" i="1"/>
  <c r="K22" i="1"/>
  <c r="C22" i="1"/>
  <c r="B22" i="1"/>
  <c r="R21" i="1"/>
  <c r="L21" i="1"/>
  <c r="K21" i="1"/>
  <c r="C21" i="1"/>
  <c r="B21" i="1"/>
  <c r="R20" i="1"/>
  <c r="L20" i="1"/>
  <c r="K20" i="1"/>
  <c r="C20" i="1"/>
  <c r="B20" i="1"/>
  <c r="K17" i="1"/>
  <c r="J17" i="1"/>
  <c r="K16" i="1"/>
  <c r="J16" i="1"/>
  <c r="K15" i="1"/>
  <c r="J15" i="1"/>
  <c r="K14" i="1"/>
  <c r="J14" i="1"/>
  <c r="K13" i="1"/>
  <c r="J13" i="1"/>
  <c r="K15" i="6" l="1"/>
  <c r="N21" i="1"/>
  <c r="N24" i="1"/>
  <c r="N25" i="1"/>
  <c r="N22" i="1"/>
  <c r="N20" i="1"/>
  <c r="N23" i="1"/>
  <c r="M20" i="1"/>
  <c r="M22" i="1"/>
  <c r="M21" i="1"/>
  <c r="M24" i="1"/>
  <c r="J8" i="6"/>
  <c r="J18" i="6"/>
  <c r="K9" i="6"/>
  <c r="J11" i="6"/>
  <c r="J4" i="6"/>
  <c r="J14" i="6"/>
  <c r="K5" i="6"/>
  <c r="E7" i="9"/>
  <c r="E7" i="7" s="1"/>
  <c r="B15" i="9"/>
  <c r="A7" i="1" s="1"/>
  <c r="J3" i="6"/>
  <c r="D24" i="1"/>
  <c r="D21" i="1"/>
  <c r="D20" i="1"/>
  <c r="E23" i="1"/>
  <c r="F23" i="1" s="1"/>
  <c r="G17" i="9"/>
  <c r="G18" i="9"/>
  <c r="E25" i="1"/>
  <c r="F25" i="1" s="1"/>
  <c r="G15" i="9"/>
  <c r="G19" i="9"/>
  <c r="E21" i="1"/>
  <c r="F21" i="1" s="1"/>
  <c r="G16" i="9"/>
  <c r="G20" i="9"/>
  <c r="I6" i="4"/>
  <c r="I9" i="4"/>
  <c r="I5" i="4"/>
  <c r="L14" i="1"/>
  <c r="M14" i="1" s="1"/>
  <c r="F8" i="4"/>
  <c r="I4" i="4"/>
  <c r="F19" i="4"/>
  <c r="J19" i="4" s="1"/>
  <c r="F23" i="4"/>
  <c r="J23" i="4" s="1"/>
  <c r="L13" i="1"/>
  <c r="M13" i="1" s="1"/>
  <c r="F6" i="4"/>
  <c r="J6" i="4" s="1"/>
  <c r="F10" i="4"/>
  <c r="J10" i="4" s="1"/>
  <c r="F20" i="4"/>
  <c r="J20" i="4" s="1"/>
  <c r="I21" i="4"/>
  <c r="F22" i="4"/>
  <c r="J22" i="4" s="1"/>
  <c r="F9" i="4"/>
  <c r="J9" i="4" s="1"/>
  <c r="I3" i="4"/>
  <c r="I24" i="4"/>
  <c r="F17" i="4"/>
  <c r="J17" i="4" s="1"/>
  <c r="F25" i="4"/>
  <c r="J25" i="4" s="1"/>
  <c r="L16" i="1"/>
  <c r="M16" i="1" s="1"/>
  <c r="G21" i="4"/>
  <c r="G24" i="4"/>
  <c r="I19" i="4"/>
  <c r="I22" i="4"/>
  <c r="I25" i="4"/>
  <c r="E8" i="9"/>
  <c r="E8" i="7" s="1"/>
  <c r="I7" i="4"/>
  <c r="I10" i="4"/>
  <c r="I20" i="4"/>
  <c r="I23" i="4"/>
  <c r="L15" i="1"/>
  <c r="M15" i="1" s="1"/>
  <c r="I8" i="4"/>
  <c r="I17" i="4"/>
  <c r="F5" i="4"/>
  <c r="J5" i="4" s="1"/>
  <c r="F18" i="4"/>
  <c r="H18" i="4" s="1"/>
  <c r="F24" i="4"/>
  <c r="J24" i="4" s="1"/>
  <c r="E12" i="9"/>
  <c r="E12" i="7" s="1"/>
  <c r="E6" i="9"/>
  <c r="E6" i="7" s="1"/>
  <c r="E9" i="9"/>
  <c r="E9" i="7" s="1"/>
  <c r="D7" i="7"/>
  <c r="E10" i="9"/>
  <c r="E10" i="7" s="1"/>
  <c r="E11" i="9"/>
  <c r="E11" i="7" s="1"/>
  <c r="J3" i="4"/>
  <c r="F4" i="4"/>
  <c r="E20" i="1"/>
  <c r="F20" i="1" s="1"/>
  <c r="E24" i="1"/>
  <c r="F24" i="1" s="1"/>
  <c r="D25" i="1"/>
  <c r="G3" i="4"/>
  <c r="H3" i="4" s="1"/>
  <c r="G17" i="4"/>
  <c r="G25" i="4"/>
  <c r="J6" i="6"/>
  <c r="J16" i="6"/>
  <c r="G10" i="4"/>
  <c r="I18" i="4"/>
  <c r="M23" i="1"/>
  <c r="G9" i="4"/>
  <c r="G23" i="4"/>
  <c r="C10" i="7"/>
  <c r="L17" i="1"/>
  <c r="M17" i="1" s="1"/>
  <c r="D22" i="1"/>
  <c r="F7" i="4"/>
  <c r="G8" i="4"/>
  <c r="F21" i="4"/>
  <c r="G22" i="4"/>
  <c r="J7" i="6"/>
  <c r="J17" i="6"/>
  <c r="E22" i="1"/>
  <c r="F22" i="1" s="1"/>
  <c r="G7" i="4"/>
  <c r="D23" i="1"/>
  <c r="M25" i="1"/>
  <c r="G6" i="4"/>
  <c r="G20" i="4"/>
  <c r="J10" i="6"/>
  <c r="G19" i="4"/>
  <c r="C6" i="7"/>
  <c r="G5" i="4"/>
  <c r="G4" i="4"/>
  <c r="M7" i="1" l="1"/>
  <c r="C13" i="7"/>
  <c r="J8" i="4"/>
  <c r="H8" i="4"/>
  <c r="H6" i="4"/>
  <c r="H20" i="4"/>
  <c r="H5" i="4"/>
  <c r="H22" i="4"/>
  <c r="H17" i="4"/>
  <c r="H9" i="4"/>
  <c r="H19" i="4"/>
  <c r="H23" i="4"/>
  <c r="H10" i="4"/>
  <c r="H25" i="4"/>
  <c r="J18" i="4"/>
  <c r="D4" i="9" s="1"/>
  <c r="H24" i="4"/>
  <c r="J7" i="4"/>
  <c r="H7" i="4"/>
  <c r="J4" i="4"/>
  <c r="H4" i="4"/>
  <c r="J21" i="4"/>
  <c r="H21" i="4"/>
  <c r="G13" i="7"/>
  <c r="B19" i="9"/>
  <c r="F13" i="7"/>
  <c r="I13" i="7" s="1"/>
  <c r="B20" i="9"/>
  <c r="B18" i="9"/>
  <c r="E7" i="1" s="1"/>
  <c r="H13" i="7"/>
  <c r="D5" i="9" l="1"/>
  <c r="D5" i="7" s="1"/>
  <c r="F15" i="1" s="1"/>
  <c r="D3" i="9"/>
  <c r="E3" i="9" s="1"/>
  <c r="H9" i="9"/>
  <c r="H9" i="7" s="1"/>
  <c r="H5" i="9"/>
  <c r="B31" i="1" s="1"/>
  <c r="H10" i="9"/>
  <c r="H10" i="7" s="1"/>
  <c r="G10" i="9"/>
  <c r="G10" i="7" s="1"/>
  <c r="H6" i="9"/>
  <c r="H6" i="7" s="1"/>
  <c r="H8" i="9"/>
  <c r="H8" i="7" s="1"/>
  <c r="H7" i="9"/>
  <c r="H7" i="7" s="1"/>
  <c r="G11" i="9"/>
  <c r="G11" i="7" s="1"/>
  <c r="H4" i="9"/>
  <c r="H3" i="9"/>
  <c r="F5" i="9"/>
  <c r="F5" i="7" s="1"/>
  <c r="F8" i="9"/>
  <c r="F8" i="7" s="1"/>
  <c r="I8" i="7" s="1"/>
  <c r="F7" i="9"/>
  <c r="F7" i="7" s="1"/>
  <c r="I7" i="7" s="1"/>
  <c r="F6" i="9"/>
  <c r="F6" i="7" s="1"/>
  <c r="I6" i="7" s="1"/>
  <c r="F9" i="9"/>
  <c r="F9" i="7" s="1"/>
  <c r="I9" i="7" s="1"/>
  <c r="F12" i="9"/>
  <c r="F12" i="7" s="1"/>
  <c r="I12" i="7" s="1"/>
  <c r="F11" i="9"/>
  <c r="F11" i="7" s="1"/>
  <c r="I11" i="7" s="1"/>
  <c r="F10" i="9"/>
  <c r="F10" i="7" s="1"/>
  <c r="I10" i="7" s="1"/>
  <c r="D4" i="7"/>
  <c r="F14" i="1" s="1"/>
  <c r="E4" i="9"/>
  <c r="E4" i="7" s="1"/>
  <c r="G4" i="9"/>
  <c r="H11" i="9"/>
  <c r="H11" i="7" s="1"/>
  <c r="G5" i="9"/>
  <c r="G8" i="9"/>
  <c r="G8" i="7" s="1"/>
  <c r="G3" i="9"/>
  <c r="H12" i="9"/>
  <c r="H12" i="7" s="1"/>
  <c r="G9" i="9"/>
  <c r="G9" i="7" s="1"/>
  <c r="G12" i="9"/>
  <c r="G12" i="7" s="1"/>
  <c r="G7" i="9"/>
  <c r="G7" i="7" s="1"/>
  <c r="G6" i="9"/>
  <c r="G6" i="7" s="1"/>
  <c r="F4" i="9"/>
  <c r="F4" i="7" s="1"/>
  <c r="F3" i="9"/>
  <c r="F3" i="7" s="1"/>
  <c r="E5" i="9" l="1"/>
  <c r="E5" i="7" s="1"/>
  <c r="D3" i="7"/>
  <c r="D13" i="7" s="1"/>
  <c r="B16" i="9"/>
  <c r="H5" i="7"/>
  <c r="B15" i="1"/>
  <c r="D14" i="1"/>
  <c r="G14" i="1" s="1"/>
  <c r="I4" i="7"/>
  <c r="C15" i="1"/>
  <c r="G5" i="7"/>
  <c r="C31" i="1"/>
  <c r="G3" i="7"/>
  <c r="C29" i="1"/>
  <c r="C13" i="1"/>
  <c r="C14" i="1"/>
  <c r="G4" i="7"/>
  <c r="C30" i="1"/>
  <c r="B29" i="1"/>
  <c r="B13" i="1"/>
  <c r="H3" i="7"/>
  <c r="D13" i="1"/>
  <c r="G13" i="1" s="1"/>
  <c r="R22" i="1"/>
  <c r="I3" i="7"/>
  <c r="B14" i="1"/>
  <c r="B30" i="1"/>
  <c r="H4" i="7"/>
  <c r="D15" i="1"/>
  <c r="G15" i="1" s="1"/>
  <c r="I5" i="7"/>
  <c r="E3" i="7"/>
  <c r="E13" i="7" l="1"/>
  <c r="B17" i="9"/>
  <c r="F1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<sst xmlns="http://schemas.openxmlformats.org/spreadsheetml/2006/main" count="5671" uniqueCount="1331">
  <si>
    <t>⚡  QA/QC PRO DASHBOARD  —  Control de Calidad Eléctrica &amp; Instrumentación</t>
  </si>
  <si>
    <t>Especialista Responsable: Yesid Cruz  —  QA/QC Eléctrico &amp; Instrumentación</t>
  </si>
  <si>
    <t>⏱ Última actualización:</t>
  </si>
  <si>
    <t>Presione 🔄 ACTUALIZAR para registrar fecha</t>
  </si>
  <si>
    <t>📋 TOTAL ACTIVIDADES</t>
  </si>
  <si>
    <t>📊 AVANCE PONDERADO</t>
  </si>
  <si>
    <t>⚠️ NCs ABIERTAS</t>
  </si>
  <si>
    <t>📜 CERTIF. ENTREGADOS</t>
  </si>
  <si>
    <t>🔄 ACTUALIZAR
DASHBOARD</t>
  </si>
  <si>
    <t>▼ Click 🔄 para actualizar</t>
  </si>
  <si>
    <t>📁  AVANCE POR PROYECTO</t>
  </si>
  <si>
    <t>📊  DISTRIBUCIÓN POR TIPO</t>
  </si>
  <si>
    <t>📌  SEMÁFORO</t>
  </si>
  <si>
    <t>PROYECTO</t>
  </si>
  <si>
    <t>QC %</t>
  </si>
  <si>
    <t>QA %</t>
  </si>
  <si>
    <t>AVANCE TOT.</t>
  </si>
  <si>
    <t>ITEMS TOT.</t>
  </si>
  <si>
    <t>COMPLETOS</t>
  </si>
  <si>
    <t>ESTADO</t>
  </si>
  <si>
    <t>ACTIVIDAD</t>
  </si>
  <si>
    <t>TOTAL</t>
  </si>
  <si>
    <t>COMPLETADO</t>
  </si>
  <si>
    <t>% AVANCE</t>
  </si>
  <si>
    <t>AZUFRE II</t>
  </si>
  <si>
    <t>INSTALACION</t>
  </si>
  <si>
    <t>✅ VERDE</t>
  </si>
  <si>
    <t>Avance ≥ 90%</t>
  </si>
  <si>
    <t>NUEVOLABORATORIO</t>
  </si>
  <si>
    <t>PRUEBAS</t>
  </si>
  <si>
    <t>⚠️ AMARILLO</t>
  </si>
  <si>
    <t>Avance 70–89%</t>
  </si>
  <si>
    <t>LBCC 10PPM</t>
  </si>
  <si>
    <t>DESINSTALACION</t>
  </si>
  <si>
    <t>🔴 ROJO</t>
  </si>
  <si>
    <t>Avance &lt; 70%</t>
  </si>
  <si>
    <t>PLAN DE CALIDAD</t>
  </si>
  <si>
    <t xml:space="preserve"> </t>
  </si>
  <si>
    <t>ITP</t>
  </si>
  <si>
    <t>📅  CUMPLIMIENTO PLAN SEMANAL</t>
  </si>
  <si>
    <t>📜  RESUMEN CERTIFICADOS</t>
  </si>
  <si>
    <t>📊  KPIs ADICIONALES</t>
  </si>
  <si>
    <t>SEMANA</t>
  </si>
  <si>
    <t>PROGRAMADO</t>
  </si>
  <si>
    <t>EJECUTADO</t>
  </si>
  <si>
    <t>DESVIACIÓN</t>
  </si>
  <si>
    <t>% CUMPLIM.</t>
  </si>
  <si>
    <t>ALERTA</t>
  </si>
  <si>
    <t>TIPO</t>
  </si>
  <si>
    <t>PROGR.</t>
  </si>
  <si>
    <t>ENTREGADO</t>
  </si>
  <si>
    <t>Cert. Calibracion</t>
  </si>
  <si>
    <t>NC Registradas</t>
  </si>
  <si>
    <t>Conformidad</t>
  </si>
  <si>
    <t>Semanas con datos</t>
  </si>
  <si>
    <t>NUEVOLAB</t>
  </si>
  <si>
    <t>Proyectos Activos</t>
  </si>
  <si>
    <t>Responsables</t>
  </si>
  <si>
    <t>📈  ZONA DE GRÁFICOS GERENCIALES — QA vs QC por Proyecto  |  Desempeño Semanal</t>
  </si>
  <si>
    <t>S21</t>
  </si>
  <si>
    <t>S22</t>
  </si>
  <si>
    <t>S23</t>
  </si>
  <si>
    <t>S24</t>
  </si>
  <si>
    <t>S25</t>
  </si>
  <si>
    <t>S26</t>
  </si>
  <si>
    <t>⚙️  BASE DE DATOS MAESTRA — ACTIVIDADES QA/QC  |  Especialista: Yesid Cruz</t>
  </si>
  <si>
    <t>ID</t>
  </si>
  <si>
    <t>SUBACTIVIDAD</t>
  </si>
  <si>
    <t>ESPECIALIDAD</t>
  </si>
  <si>
    <t>ODS</t>
  </si>
  <si>
    <t>PESO (%)</t>
  </si>
  <si>
    <t>CANTIDAD TOTAL</t>
  </si>
  <si>
    <t>RESPONSABLE</t>
  </si>
  <si>
    <t>NORMA</t>
  </si>
  <si>
    <t>COMENTARIOS</t>
  </si>
  <si>
    <t>APLICA</t>
  </si>
  <si>
    <t>Comentarios2</t>
  </si>
  <si>
    <t>QA-001</t>
  </si>
  <si>
    <t>QA</t>
  </si>
  <si>
    <t>Revision del plan</t>
  </si>
  <si>
    <t>Eléctrica</t>
  </si>
  <si>
    <t>ECD22005_SISTEMA B-2880 AZUFRE II ETAPA 2</t>
  </si>
  <si>
    <t>ODS-016</t>
  </si>
  <si>
    <t>Yesid Cruz</t>
  </si>
  <si>
    <t>ISO 9001</t>
  </si>
  <si>
    <t>Plan aprobado</t>
  </si>
  <si>
    <t>SI</t>
  </si>
  <si>
    <t>Completo</t>
  </si>
  <si>
    <t>QA-002</t>
  </si>
  <si>
    <t>Revision/Aprobacion</t>
  </si>
  <si>
    <t>RETIE</t>
  </si>
  <si>
    <t>ITP aprobado</t>
  </si>
  <si>
    <t>QA-003</t>
  </si>
  <si>
    <t>DOSSIER</t>
  </si>
  <si>
    <t>Instalacion De bandejas</t>
  </si>
  <si>
    <t>QA-004</t>
  </si>
  <si>
    <t>INSPECCION RUTINA</t>
  </si>
  <si>
    <t>Revisión documental</t>
  </si>
  <si>
    <t>Documental</t>
  </si>
  <si>
    <t>Auditoría OK</t>
  </si>
  <si>
    <t>QA-005</t>
  </si>
  <si>
    <t>NCR-VQA-PNC</t>
  </si>
  <si>
    <t>Seguimiento</t>
  </si>
  <si>
    <t>RETIE Art.35</t>
  </si>
  <si>
    <t>Pendiente 2 motores</t>
  </si>
  <si>
    <t>QA-006</t>
  </si>
  <si>
    <t>CERTIFICADOS DE CALIBRACION</t>
  </si>
  <si>
    <t>Verificacion</t>
  </si>
  <si>
    <t>NTC 2050</t>
  </si>
  <si>
    <t>OK</t>
  </si>
  <si>
    <t>QA-007</t>
  </si>
  <si>
    <t>CERTIFICADOS MATERIALES/EQUIPOS</t>
  </si>
  <si>
    <t>OIML R 111</t>
  </si>
  <si>
    <t>Cert. emitidos</t>
  </si>
  <si>
    <t>QC-001</t>
  </si>
  <si>
    <t>QC</t>
  </si>
  <si>
    <t>Instalacion de equipos</t>
  </si>
  <si>
    <t>En revisión</t>
  </si>
  <si>
    <t>QC-002</t>
  </si>
  <si>
    <t>Pruebas de Aislamiento</t>
  </si>
  <si>
    <t>ISA S5.1</t>
  </si>
  <si>
    <t>QC-003</t>
  </si>
  <si>
    <t>Pruebas de SPT</t>
  </si>
  <si>
    <t>En proceso</t>
  </si>
  <si>
    <t>QC-004</t>
  </si>
  <si>
    <t>Instalacion de bandejas porta cables</t>
  </si>
  <si>
    <t>Programado S22</t>
  </si>
  <si>
    <t>QC-005</t>
  </si>
  <si>
    <t>Instalacion Bancoductos</t>
  </si>
  <si>
    <t>Programado S23</t>
  </si>
  <si>
    <t>QC-006</t>
  </si>
  <si>
    <t>PRESERVACION</t>
  </si>
  <si>
    <t>Preservacion de equipos</t>
  </si>
  <si>
    <t>Electrica</t>
  </si>
  <si>
    <t>QC-007</t>
  </si>
  <si>
    <t>Desmantelamiento</t>
  </si>
  <si>
    <t>ECD20005_LINEA BASE CALIDAD DE COMBUSTIBLE 10 PPM</t>
  </si>
  <si>
    <t>ODS-20</t>
  </si>
  <si>
    <t>En ajuste</t>
  </si>
  <si>
    <t>OK 4 de 6</t>
  </si>
  <si>
    <t>Asignado</t>
  </si>
  <si>
    <t>OIML R 112</t>
  </si>
  <si>
    <t>Programado S24</t>
  </si>
  <si>
    <t>OIML R 113</t>
  </si>
  <si>
    <t>Programado S25</t>
  </si>
  <si>
    <t>OIML R 114</t>
  </si>
  <si>
    <t>Programado S26</t>
  </si>
  <si>
    <t>Tableros proteccion catodica, luminarias, bandejas, tuberia conduit, SPT</t>
  </si>
  <si>
    <t>OIML R 115</t>
  </si>
  <si>
    <t>Programado S27</t>
  </si>
  <si>
    <t>OIML R 116</t>
  </si>
  <si>
    <t>Programado S28</t>
  </si>
  <si>
    <t>OIML R 117</t>
  </si>
  <si>
    <t>Programado S29</t>
  </si>
  <si>
    <t>OIML R 118</t>
  </si>
  <si>
    <t>Programado S30</t>
  </si>
  <si>
    <t>OIML R 119</t>
  </si>
  <si>
    <t>Programado S31</t>
  </si>
  <si>
    <t>ODS-020</t>
  </si>
  <si>
    <t>Albert Trujillo</t>
  </si>
  <si>
    <t>En Ejecucion</t>
  </si>
  <si>
    <t>Motores de tanques</t>
  </si>
  <si>
    <t>Motores y cables</t>
  </si>
  <si>
    <t>ECD17011_NUEVOLABORATORIO GRB</t>
  </si>
  <si>
    <t>ODS-07</t>
  </si>
  <si>
    <t>ISO 10005</t>
  </si>
  <si>
    <t>Aprobado</t>
  </si>
  <si>
    <t>GYQ</t>
  </si>
  <si>
    <t>Revision documental</t>
  </si>
  <si>
    <t>EDP</t>
  </si>
  <si>
    <t>Programado</t>
  </si>
  <si>
    <t>Seguimeinto</t>
  </si>
  <si>
    <t>Lenar Parra</t>
  </si>
  <si>
    <t>CW23339</t>
  </si>
  <si>
    <t>Lineth Barroso</t>
  </si>
  <si>
    <t>🔍  DETALLE QC — Registros de Inspección y Pruebas  |  QA/QC PRO Dashboard — Yesid Cruz</t>
  </si>
  <si>
    <t>ELEMENTO</t>
  </si>
  <si>
    <t>ACTIVIDAD QC</t>
  </si>
  <si>
    <t>TAG</t>
  </si>
  <si>
    <t>TIPO ENSAYO</t>
  </si>
  <si>
    <t>PENDIENTE</t>
  </si>
  <si>
    <t>Tablero GIM</t>
  </si>
  <si>
    <t>Instalacion</t>
  </si>
  <si>
    <t>TDGIM</t>
  </si>
  <si>
    <t>Registro De Instalacion</t>
  </si>
  <si>
    <t>Ventilador</t>
  </si>
  <si>
    <t>MU-2880</t>
  </si>
  <si>
    <t>Registro de Instalacion</t>
  </si>
  <si>
    <t>Arrancador Suave</t>
  </si>
  <si>
    <t>Prueba de aislamiento</t>
  </si>
  <si>
    <t>PCC2882</t>
  </si>
  <si>
    <t>Prueba</t>
  </si>
  <si>
    <t>Bomba Piscina de Azufre (Stand by) (MP-2887B)</t>
  </si>
  <si>
    <t>PCP2887B</t>
  </si>
  <si>
    <t>Bomba Aceite Compresor PCP-2882</t>
  </si>
  <si>
    <t>PCP2882</t>
  </si>
  <si>
    <t xml:space="preserve">Calentador Compresor </t>
  </si>
  <si>
    <t>PCE2882</t>
  </si>
  <si>
    <t>ET218PMCCF01DN3C5</t>
  </si>
  <si>
    <t>P2887B/ET218PMCCF01DN3C5(CCP2887B LCS1)</t>
  </si>
  <si>
    <t>P2887B/ET218PMCCF01DN3C5(CCP2887B LCS2)</t>
  </si>
  <si>
    <t>ET218PMCCF01BN16P3</t>
  </si>
  <si>
    <t>P2887A/ET218PMCCF01BN16P3</t>
  </si>
  <si>
    <t>ET218PMCCF01CN4C5</t>
  </si>
  <si>
    <t>P2882/ET218PMCCF01CN4C5</t>
  </si>
  <si>
    <t>DC28802</t>
  </si>
  <si>
    <t>ET218-ELP-02/DC28802</t>
  </si>
  <si>
    <t>CPI28803</t>
  </si>
  <si>
    <t>SIS CPI28803</t>
  </si>
  <si>
    <t xml:space="preserve">Tablero en Caseta Cargue Azufre </t>
  </si>
  <si>
    <t>Servicios Auxiliares Caseta llenadero</t>
  </si>
  <si>
    <t>Analizador Oxígeno  - Alimentación Eléctrica Regulada(AT28932)</t>
  </si>
  <si>
    <t xml:space="preserve"> AT28932</t>
  </si>
  <si>
    <t>Transformador de Ignición Horno H2883</t>
  </si>
  <si>
    <t>-</t>
  </si>
  <si>
    <t>Controlador Local en Campo Compresor C2882(PLC)</t>
  </si>
  <si>
    <t>PLC-C2882</t>
  </si>
  <si>
    <t>Controlador Local en Campo Compresor C2882 (PLC)</t>
  </si>
  <si>
    <t>Caja de Comunicaciones Cargadero</t>
  </si>
  <si>
    <t>CC-FQ28880</t>
  </si>
  <si>
    <t>Comunicación con DCS</t>
  </si>
  <si>
    <t xml:space="preserve"> FQ28880A</t>
  </si>
  <si>
    <t>FQ28880B</t>
  </si>
  <si>
    <t>Carga de Reserva para Brazo de Llenadero</t>
  </si>
  <si>
    <t>SIS Incinerador H2883 (No regulada)-CPI28803</t>
  </si>
  <si>
    <t>EC28802</t>
  </si>
  <si>
    <t>Medidores Coriolis(FT28890A)</t>
  </si>
  <si>
    <t>FT28890A</t>
  </si>
  <si>
    <t>Medidores Coriolis(FT-28890B)</t>
  </si>
  <si>
    <t>FT28890B</t>
  </si>
  <si>
    <t>UE-2881</t>
  </si>
  <si>
    <t>Luminarias /letrero</t>
  </si>
  <si>
    <t>Derivaciones a Luminarias</t>
  </si>
  <si>
    <t>Luminarias</t>
  </si>
  <si>
    <t>LP3-2 (Tablero Existente)</t>
  </si>
  <si>
    <t>heaters Motor Compresor</t>
  </si>
  <si>
    <t>HEATERS COMPRESOR</t>
  </si>
  <si>
    <t>Sistema de puesta a tierra</t>
  </si>
  <si>
    <t>Prueba de resistividad</t>
  </si>
  <si>
    <t>Zona Compresor</t>
  </si>
  <si>
    <t>Zona Brazos de llenado</t>
  </si>
  <si>
    <t>Bandejas Portacables</t>
  </si>
  <si>
    <t>Bandejas zona Compresor</t>
  </si>
  <si>
    <t>Bandejas Zona Brazos de llenado</t>
  </si>
  <si>
    <t>Tuberia Conduit</t>
  </si>
  <si>
    <t>Conduit Zona Compresor</t>
  </si>
  <si>
    <t>Conduit Zona Brazos de llenado</t>
  </si>
  <si>
    <t>N/A</t>
  </si>
  <si>
    <t>Revision del ITP</t>
  </si>
  <si>
    <t>Revision ITP</t>
  </si>
  <si>
    <t>Revision del Dossier</t>
  </si>
  <si>
    <t>Revision Dossier</t>
  </si>
  <si>
    <t>Certificados calibracion</t>
  </si>
  <si>
    <t>Revision Certificados</t>
  </si>
  <si>
    <t>Certificados Materiales</t>
  </si>
  <si>
    <t>Revision certificados</t>
  </si>
  <si>
    <t>Motor Bomba de agua fresca</t>
  </si>
  <si>
    <t>Relocalizar</t>
  </si>
  <si>
    <t>MP-4609A</t>
  </si>
  <si>
    <t>MP-4609B</t>
  </si>
  <si>
    <t>Motor bomba de soda</t>
  </si>
  <si>
    <t>MP-4610A</t>
  </si>
  <si>
    <t>MP-4610B</t>
  </si>
  <si>
    <t>MP-4610C</t>
  </si>
  <si>
    <t>MP-4612A</t>
  </si>
  <si>
    <t>MP-4612B</t>
  </si>
  <si>
    <t>Motor de bomba de soda gastada naftenica</t>
  </si>
  <si>
    <t>MP-4613A</t>
  </si>
  <si>
    <t>MP-4613B</t>
  </si>
  <si>
    <t>Motor Bomba Desnatadora</t>
  </si>
  <si>
    <t>MP-4611A</t>
  </si>
  <si>
    <t>MP-4611B</t>
  </si>
  <si>
    <t>CCM</t>
  </si>
  <si>
    <t>46MCC-1</t>
  </si>
  <si>
    <t>Tablero Electrico-Alumbrado</t>
  </si>
  <si>
    <t>46DLP-1-4</t>
  </si>
  <si>
    <t>Tablero Electrico-Proteccion Catodica</t>
  </si>
  <si>
    <t>Tablero de cargas criticas</t>
  </si>
  <si>
    <t>46DP-5</t>
  </si>
  <si>
    <t>ALIMENTADOR DE POTENCIA MOTOR BOMBA DE SODA MP-4610A</t>
  </si>
  <si>
    <t>ALBT-MP4610A</t>
  </si>
  <si>
    <t>TIERRA - ALIMENTADOR DE POTENCIA MOTOR BOMBA DE SODA MP-4610A</t>
  </si>
  <si>
    <t>ALIMENTADOR DE CONTROL ELÉCTRICO MOTOR BOMBA DE SODA MP-4610A</t>
  </si>
  <si>
    <t>CTRL-MP4610A</t>
  </si>
  <si>
    <t>ALIMENTADOR DE POTENCIA MOTOR BOMBA DE SODA MP-4610B</t>
  </si>
  <si>
    <t>ALBT-MP4610B</t>
  </si>
  <si>
    <t>TIERRA - ALIMENTADOR DE POTENCIA MOTOR BOMBA DE SODA MP-4610B</t>
  </si>
  <si>
    <t>ALIMENTADOR DE CONTROL ELÉCTRICO MOTOR BOMBA DE SODA MP-4610B</t>
  </si>
  <si>
    <t>CTRL-MP4610B</t>
  </si>
  <si>
    <t>ALIMENTADOR DE POTENCIA MOTOR BOMBA DE SODA MP-4610C</t>
  </si>
  <si>
    <t>ALBT-MP4610C</t>
  </si>
  <si>
    <t>TIERRA - ALIMENTADOR DE POTENCIA MOTOR BOMBA DE SODA MP-4610C</t>
  </si>
  <si>
    <t>ALIMENTADOR DE CONTROL ELÉCTRICO MOTOR BOMBA DE SODA PM-4610C</t>
  </si>
  <si>
    <t>CTRL-MP4610C</t>
  </si>
  <si>
    <t>ALIMENTADOR DE POTENCIA MOTOR BOMBA DE AGUA FRESCA MP-4612A</t>
  </si>
  <si>
    <t>ALBT-MP4612A</t>
  </si>
  <si>
    <t>ALIMENTADOR DE CONTROL ELÉCTRICO MOTOR BOMBA DE AGUA FRESCA MP-4612A</t>
  </si>
  <si>
    <t>CTRL-MP4612A</t>
  </si>
  <si>
    <t>ALIMENTADOR DE POTENCIA MOTOR BOMBA DE AGUA FRESCA MP-4612B</t>
  </si>
  <si>
    <t>ALBT-MP4612B</t>
  </si>
  <si>
    <t>ALIMENTADOR DE CONTROL ELÉCTRICO MOTOR BOMBA DE AGUA FRESCA MP-4612B</t>
  </si>
  <si>
    <t>CTRL-MP4612B</t>
  </si>
  <si>
    <t>ALIMENTADOR DE POTENCIA MOTOR BOMBA DE SODA GASTADA NAFTÉNICA MP-4613A</t>
  </si>
  <si>
    <t>ALBT-MP4613A</t>
  </si>
  <si>
    <t>ALIMENTADOR DE CONTROL ELÉCTRICO MOTOR BOMBA DE SODA GASTADA NAFTÉNICA MP-4613A</t>
  </si>
  <si>
    <t>CTRL-MP4613A</t>
  </si>
  <si>
    <t>ALIMENTADOR DE POTENCIA MOTOR BOMBA DE SODA GASTADA NAFTÉNICA MP-4613B</t>
  </si>
  <si>
    <t>ALBT-MP4613B</t>
  </si>
  <si>
    <t>ALIMENTADOR DE CONTROL ELÉCTRICO MOTOR BOMBA DE SODA GASTADA NAFTÉNICA MP-4613B</t>
  </si>
  <si>
    <t>CTRL-MP4613B</t>
  </si>
  <si>
    <t>ALIMENTADOR DE POTENCIA MOTOR BOMBA DE AGUA FRESCA MP-4609A</t>
  </si>
  <si>
    <t>ALBT-MP4609A</t>
  </si>
  <si>
    <t>ALIMENTADOR DE CONTROL ELÉCTRICO MOTOR BOMBA DE AGUA FRESCA MP-4609A</t>
  </si>
  <si>
    <t>CTRL-MP4609A</t>
  </si>
  <si>
    <t>ALIMENTADOR DE POTENCIA MOTOR BOMBA DE AGUA FRESCA MP-4609B</t>
  </si>
  <si>
    <t>ALBT-MP4609B</t>
  </si>
  <si>
    <t>ALIMENTADOR DE CONTROL ELÉCTRICO MOTOR BOMBA DE AGUA FRESCA MP-4609B</t>
  </si>
  <si>
    <t>CTRL-MP4609B</t>
  </si>
  <si>
    <t>ALIMENTADOR TOMA DE SOLDADURA, PATÍN DE BOMBAS, PRIMER NIVEL</t>
  </si>
  <si>
    <t>ALBT-TSOL-4600-480-01</t>
  </si>
  <si>
    <t>TIERRA - ALIMENTADOR TOMA DE SOLDADURA, PATÍN DE BOMBAS, PRIMER NIVEL</t>
  </si>
  <si>
    <t>ALIMENTADOR TOMA DE SOLDADURA, PATÍN DE BOMBAS, SEGUNDO NIVEL</t>
  </si>
  <si>
    <t>ALBT-TSOL-4600-480-02</t>
  </si>
  <si>
    <t>TIERRA - ALIMENTADOR TOMA DE SOLDADURA, PATÍN DE BOMBAS, SEGUNDO NIVEL</t>
  </si>
  <si>
    <t>ALIMENTADOR DE POTENCIA VÁLVULA MOTORIZADA
UV-46021</t>
  </si>
  <si>
    <t>ALBT-UV46021</t>
  </si>
  <si>
    <t>ALIMENTADOR ILUMINACIÓN ESCALERAS TANQUE K-4608</t>
  </si>
  <si>
    <t>ALBT-LSPA4600A</t>
  </si>
  <si>
    <t>ALIMENTADOR ILUMINACIÓN ESCALERAS TANQUE K-4609</t>
  </si>
  <si>
    <t>ALBT-LSPA4600B</t>
  </si>
  <si>
    <t>ALIMENTADOR ILUMINACIÓN ESCALERAS TANQUE K-4606</t>
  </si>
  <si>
    <t>ALBT-LSPA4600C</t>
  </si>
  <si>
    <t>ALIMENTADOR ILUMINACIÓN ESCALERAS TANQUE K-4607</t>
  </si>
  <si>
    <t>ALBT-LSPA4600D</t>
  </si>
  <si>
    <t>ALIMENTADOR ILUMINACIÓN ESCALERAS TANQUE K-4610</t>
  </si>
  <si>
    <t>ALBT-LSPA4600E</t>
  </si>
  <si>
    <t>ALIMENTADOR ILUMINACIÓN PIPE RACK (PASILLO)</t>
  </si>
  <si>
    <t>ALBT-LSPA4600F</t>
  </si>
  <si>
    <t xml:space="preserve">ALIMENTADOR ILUMINACIÓN CASETA DE BOMBAS SEGUNDO NIVEL </t>
  </si>
  <si>
    <t>ALBT-LSPA4600G</t>
  </si>
  <si>
    <t xml:space="preserve">ALIMENTADOR ILUMINACIÓN CASETA DE BOMBAS PRIMER NIVEL </t>
  </si>
  <si>
    <t>ALBT-LSPA4600H</t>
  </si>
  <si>
    <t>ALIMENTADOR ILUMINACIÓN PERÍMETRAL</t>
  </si>
  <si>
    <t>ALBT-LSPA4600I</t>
  </si>
  <si>
    <t>ALIMENTADOR DE POTENCIA TABLERO DCS DC46002</t>
  </si>
  <si>
    <t>ALBT-DCS46002</t>
  </si>
  <si>
    <t>ALIMENTADOR DE POTENCIA TABLERO DE RECTIFICADORES PROTECCIÓN CATÓDICA</t>
  </si>
  <si>
    <t>ALBT-PC4600</t>
  </si>
  <si>
    <t>ALIMENTADOR DE POTENCIA CONTROL DE TEMPERATURA QUEMADOR H2003 (TANQUE DE FONDOS DE VACIO)</t>
  </si>
  <si>
    <t>ALBT-MH2003</t>
  </si>
  <si>
    <t>ALIMENTADOR ILUMINACIÓN K-2001</t>
  </si>
  <si>
    <t>ALBT-LSPA2000A</t>
  </si>
  <si>
    <t>SISTEMA DE PUESTA A TIERRA DE LA UNIDAD U4600 TANQUE DE SODAS</t>
  </si>
  <si>
    <t>SAPT4600</t>
  </si>
  <si>
    <t>Piperack 1-2-3-4-cruce de vias</t>
  </si>
  <si>
    <t>Casa Bombas</t>
  </si>
  <si>
    <t>Tk 4606</t>
  </si>
  <si>
    <t>Tk 4607</t>
  </si>
  <si>
    <t>Tk 4608</t>
  </si>
  <si>
    <t>Tk 4609</t>
  </si>
  <si>
    <t>Tk 4610</t>
  </si>
  <si>
    <t>Cuarto de control satelite</t>
  </si>
  <si>
    <t>Piperack1</t>
  </si>
  <si>
    <t>Piperack2</t>
  </si>
  <si>
    <t>Piperack3</t>
  </si>
  <si>
    <t>QC.004</t>
  </si>
  <si>
    <t>Piperack4</t>
  </si>
  <si>
    <t>Cruce de vias</t>
  </si>
  <si>
    <t xml:space="preserve">Casa Bombas </t>
  </si>
  <si>
    <t>Motores</t>
  </si>
  <si>
    <t>Registro de desmantelamiento</t>
  </si>
  <si>
    <t>Revision del dossier</t>
  </si>
  <si>
    <t>Inspeccion de Rutina</t>
  </si>
  <si>
    <t>Formato A-B-C</t>
  </si>
  <si>
    <t>Cierre de hallazgos</t>
  </si>
  <si>
    <t>Certificado de calibracon Megohmetro</t>
  </si>
  <si>
    <t>Certificado</t>
  </si>
  <si>
    <t>Certificado de calibracion Multimetro</t>
  </si>
  <si>
    <t>Certificado de calibracion de telurometro</t>
  </si>
  <si>
    <t>Certificado de materiales/Bandejas</t>
  </si>
  <si>
    <t>Certificado de conformidad</t>
  </si>
  <si>
    <t>Certificado de materiales/Tuberia conduit</t>
  </si>
  <si>
    <t>Certificado de materiales/Cable SPT</t>
  </si>
  <si>
    <t>Certificado de materiales/Proteccion catodica</t>
  </si>
  <si>
    <t>TRANSFORMADOR DE POTENCIA</t>
  </si>
  <si>
    <t>TRF-239A</t>
  </si>
  <si>
    <t>TRF-239B</t>
  </si>
  <si>
    <t xml:space="preserve">TRANSFORMADOR DE DISTRIBUCION </t>
  </si>
  <si>
    <t>TRA-239A</t>
  </si>
  <si>
    <t xml:space="preserve">CENTRO DE DISTRIBUCION DE POTENCIA </t>
  </si>
  <si>
    <t>PC-239A/B</t>
  </si>
  <si>
    <t xml:space="preserve">CENTRO DE CONTROL DE MOTORES </t>
  </si>
  <si>
    <t>CCM-239A</t>
  </si>
  <si>
    <t>CCM-239B</t>
  </si>
  <si>
    <t>TABLERO DE DISTRIBUCION DE POTENCIA</t>
  </si>
  <si>
    <t>TPC-239A/B</t>
  </si>
  <si>
    <t xml:space="preserve">TABLERO DE DISTRIBUCION LABORATORIO </t>
  </si>
  <si>
    <t>TD-239-1</t>
  </si>
  <si>
    <t>TD-239-2</t>
  </si>
  <si>
    <t>TABLERO DE CARGAS CRÍTICAS</t>
  </si>
  <si>
    <t>TCC-239-1</t>
  </si>
  <si>
    <t>TCC-239-2</t>
  </si>
  <si>
    <t>TABLERO DE SERVICIOS GENERALES PISO 1</t>
  </si>
  <si>
    <t>TSG-239-1</t>
  </si>
  <si>
    <t>TABLERO DE SERVICIOS GENERALES PISO 2</t>
  </si>
  <si>
    <t>TSG-239-2</t>
  </si>
  <si>
    <t>TABLERO GENERAL DE ALUMBRADO</t>
  </si>
  <si>
    <t>TAL-239</t>
  </si>
  <si>
    <t>SISTEMA DE ALIMENTACION  ININTERRUMPIDA CARGAS CRÍTICAS</t>
  </si>
  <si>
    <t>UPS-239A</t>
  </si>
  <si>
    <t>UPS-239B</t>
  </si>
  <si>
    <t>BANCO DE BATERÍAS UPS 25 kVA</t>
  </si>
  <si>
    <t>BAT-239-1</t>
  </si>
  <si>
    <t>BANCO DE BATERÍAS UPS 30 kVA</t>
  </si>
  <si>
    <t>BAT-239-2</t>
  </si>
  <si>
    <t>ELECTROBARRA</t>
  </si>
  <si>
    <t>B-TRA-239A</t>
  </si>
  <si>
    <t>B-TRA-239B</t>
  </si>
  <si>
    <t>B-TRF-239A</t>
  </si>
  <si>
    <t>B-TRF-239B</t>
  </si>
  <si>
    <t>B-CCM-239A</t>
  </si>
  <si>
    <t>B-CCM-239B</t>
  </si>
  <si>
    <t>TABLERO DE DISTRIBUCIÓN DE UNIDADES MANEJADORAS</t>
  </si>
  <si>
    <t>TD-239-3</t>
  </si>
  <si>
    <t>TD-239-4</t>
  </si>
  <si>
    <t>TABLERO DE INVERSOR FUTURO PARA SISTEMA FOTOVOLTAICO</t>
  </si>
  <si>
    <t>TD-INV</t>
  </si>
  <si>
    <t>TABLERO REGULADOR FUTURO PARA SISTEMA FOTOVOLTAICO</t>
  </si>
  <si>
    <t>TD-REG</t>
  </si>
  <si>
    <t>PANEL SOLAR MONOCRISTALINO</t>
  </si>
  <si>
    <t>BANCO DE BATERÍAS SISTEMA FOTOVOLTÁICO</t>
  </si>
  <si>
    <t>BAT-239-3</t>
  </si>
  <si>
    <t>Transformador Servicios Generales red A</t>
  </si>
  <si>
    <t>Transformador Servicios Generales red B</t>
  </si>
  <si>
    <t>Unidad Chiller</t>
  </si>
  <si>
    <t>B-ENF-01</t>
  </si>
  <si>
    <t>B-ENF-02</t>
  </si>
  <si>
    <t>Torre de Enfriamiento</t>
  </si>
  <si>
    <t>B-TE-01</t>
  </si>
  <si>
    <t>Bomba de Condensación</t>
  </si>
  <si>
    <t>B-CDWP-03</t>
  </si>
  <si>
    <t>Bomba de Agua Fría</t>
  </si>
  <si>
    <t>B-CWP-01</t>
  </si>
  <si>
    <t>B-CWP-02</t>
  </si>
  <si>
    <t>Unidad Extractora de aire</t>
  </si>
  <si>
    <t>B-UEX-01C</t>
  </si>
  <si>
    <t>B-UEX-01C'</t>
  </si>
  <si>
    <t>B-UEX-02A</t>
  </si>
  <si>
    <t>B-UEX-02A'</t>
  </si>
  <si>
    <t>B-UEX-02B</t>
  </si>
  <si>
    <t>B-UEX-02B'</t>
  </si>
  <si>
    <t>B-UEX-03A</t>
  </si>
  <si>
    <t>B-UEX-03A'</t>
  </si>
  <si>
    <t>B-UEX-03B</t>
  </si>
  <si>
    <t>B-UEX-03B'</t>
  </si>
  <si>
    <t>B-UEX-04A</t>
  </si>
  <si>
    <t>B-UEX-04A'</t>
  </si>
  <si>
    <t>B-UEX-04B</t>
  </si>
  <si>
    <t>B-UEX-04B'</t>
  </si>
  <si>
    <t>B-UEX-05A</t>
  </si>
  <si>
    <t>B-UEX-05A'</t>
  </si>
  <si>
    <t>B-UEX-08B</t>
  </si>
  <si>
    <t>B-UEX-08B'</t>
  </si>
  <si>
    <t>B-UEX-09A</t>
  </si>
  <si>
    <t>B-UEX-09A'</t>
  </si>
  <si>
    <t>B-UEX-09B</t>
  </si>
  <si>
    <t>B-UEX-09B'</t>
  </si>
  <si>
    <t>B-UEX-10A</t>
  </si>
  <si>
    <t>B-UEX-10A'</t>
  </si>
  <si>
    <t>B-UEX-11A</t>
  </si>
  <si>
    <t>B-UEX-11A'</t>
  </si>
  <si>
    <t>B-UEX-11B</t>
  </si>
  <si>
    <t>B-UEX-11B'</t>
  </si>
  <si>
    <t>B-UEX-23A</t>
  </si>
  <si>
    <t>B-UEX-23A'</t>
  </si>
  <si>
    <t>B-UEX-24A</t>
  </si>
  <si>
    <t>B-USA-23A</t>
  </si>
  <si>
    <t>B-USA-23A'</t>
  </si>
  <si>
    <t>B-USA-24A</t>
  </si>
  <si>
    <t>B-USA-25A</t>
  </si>
  <si>
    <t>B-UEX-25A</t>
  </si>
  <si>
    <t>B-UEX-26A</t>
  </si>
  <si>
    <t>B-UEX-27A</t>
  </si>
  <si>
    <t>B-UEX-28A</t>
  </si>
  <si>
    <t>B-UEX-28A'</t>
  </si>
  <si>
    <t>B-UEX-29A</t>
  </si>
  <si>
    <t>B-UEX-29A'</t>
  </si>
  <si>
    <t>Ascensor para personal</t>
  </si>
  <si>
    <t>B-ASC-01</t>
  </si>
  <si>
    <t>Bomba generadora de vacío</t>
  </si>
  <si>
    <t>B-BGV-01</t>
  </si>
  <si>
    <t>B-BGV-02</t>
  </si>
  <si>
    <t>Compresor de aire</t>
  </si>
  <si>
    <t>B-CA-01</t>
  </si>
  <si>
    <t>Tablero de distribución unidades manejadoras 480V</t>
  </si>
  <si>
    <t>B-TD-239-3</t>
  </si>
  <si>
    <t>B-ENF-03</t>
  </si>
  <si>
    <t>B-ENF-04</t>
  </si>
  <si>
    <t>B-TE-02</t>
  </si>
  <si>
    <t>B-TE-03</t>
  </si>
  <si>
    <t>B-CDWP-01</t>
  </si>
  <si>
    <t>B-CDWP-02</t>
  </si>
  <si>
    <t>B-CWP-03</t>
  </si>
  <si>
    <t>Unidad Paquete</t>
  </si>
  <si>
    <t>B-URT-1</t>
  </si>
  <si>
    <t>B-URT-2</t>
  </si>
  <si>
    <t>B-UEX-01A</t>
  </si>
  <si>
    <t>B-UEX-01A'</t>
  </si>
  <si>
    <t>B-UEX-01B</t>
  </si>
  <si>
    <t>B-UEX-01B'</t>
  </si>
  <si>
    <t>B-UEX-05B</t>
  </si>
  <si>
    <t>B-UEX-05B'</t>
  </si>
  <si>
    <t>B-UEX-06A</t>
  </si>
  <si>
    <t>B-UEX-06A'</t>
  </si>
  <si>
    <t>B-UEX-06B</t>
  </si>
  <si>
    <t>B-UEX-06B'</t>
  </si>
  <si>
    <t>B-UEX-07A</t>
  </si>
  <si>
    <t>B-UEX-07A'</t>
  </si>
  <si>
    <t>B-UEX-08A</t>
  </si>
  <si>
    <t>B-UEX-08A'</t>
  </si>
  <si>
    <t>B-UEX-13A</t>
  </si>
  <si>
    <t>B-UEX-13A'</t>
  </si>
  <si>
    <t>B-UEX-14A</t>
  </si>
  <si>
    <t>B-UEX-14A'</t>
  </si>
  <si>
    <t>B-UEX-15A</t>
  </si>
  <si>
    <t>B-UEX-15A'</t>
  </si>
  <si>
    <t>B-UEX-16A</t>
  </si>
  <si>
    <t>B-UEX-16A'</t>
  </si>
  <si>
    <t>B-UEX-17A</t>
  </si>
  <si>
    <t>B-UEX-17A'</t>
  </si>
  <si>
    <t>B-UEX-18A</t>
  </si>
  <si>
    <t>B-UEX-18A'</t>
  </si>
  <si>
    <t>B-UEX-18B</t>
  </si>
  <si>
    <t>B-UEX-18B'</t>
  </si>
  <si>
    <t>B-UEX-19A</t>
  </si>
  <si>
    <t>B-UEX-19A'</t>
  </si>
  <si>
    <t>B-UEX-20A</t>
  </si>
  <si>
    <t>B-UEX-20A'</t>
  </si>
  <si>
    <t>B-UEX-21A</t>
  </si>
  <si>
    <t>B-UEX-21A'</t>
  </si>
  <si>
    <t>B-UEX-22A</t>
  </si>
  <si>
    <t>B-UEX-22A'</t>
  </si>
  <si>
    <t>B-UEX-27B</t>
  </si>
  <si>
    <t>B-CA-02</t>
  </si>
  <si>
    <t>Unidad Fancoil</t>
  </si>
  <si>
    <t>B-FC-01</t>
  </si>
  <si>
    <t>B-FC-02</t>
  </si>
  <si>
    <t>B-FC-03</t>
  </si>
  <si>
    <t>B-FC-04</t>
  </si>
  <si>
    <t>B-FC-05</t>
  </si>
  <si>
    <t>B-FC-06</t>
  </si>
  <si>
    <t>B-FC-07</t>
  </si>
  <si>
    <t>B-FC-08</t>
  </si>
  <si>
    <t>B-FC-09</t>
  </si>
  <si>
    <t>B-FC-10</t>
  </si>
  <si>
    <t>B-FC-11</t>
  </si>
  <si>
    <t>B-FC-12</t>
  </si>
  <si>
    <t>Maquina lavado de botellas</t>
  </si>
  <si>
    <t>B-MLB-01</t>
  </si>
  <si>
    <t>B-TD-239-4</t>
  </si>
  <si>
    <t>Unidad Manejadora</t>
  </si>
  <si>
    <t>B-AHU-01</t>
  </si>
  <si>
    <t>B-AHU-02</t>
  </si>
  <si>
    <t>B-AHU-03</t>
  </si>
  <si>
    <t>B-AHU-04</t>
  </si>
  <si>
    <t>B-AHU-05</t>
  </si>
  <si>
    <t>B-AHU-06</t>
  </si>
  <si>
    <t>B-AHU-07</t>
  </si>
  <si>
    <t>B-AHU-08</t>
  </si>
  <si>
    <t>Unidad Manejadora de Respaldo</t>
  </si>
  <si>
    <t>B-AHU-R2</t>
  </si>
  <si>
    <t>B-AHU-09</t>
  </si>
  <si>
    <t>B-AHU-10</t>
  </si>
  <si>
    <t>B-AHU-11</t>
  </si>
  <si>
    <t>B-AHU-12</t>
  </si>
  <si>
    <t>B-AHU-13</t>
  </si>
  <si>
    <t>B-AHU-14</t>
  </si>
  <si>
    <t>B-AHU-15</t>
  </si>
  <si>
    <t>B-AHU-16</t>
  </si>
  <si>
    <t>B-AHU-17</t>
  </si>
  <si>
    <t>B-AHU-18</t>
  </si>
  <si>
    <t>B-AHU-19</t>
  </si>
  <si>
    <t>B-AHU-20</t>
  </si>
  <si>
    <t>B-AHU-21</t>
  </si>
  <si>
    <t>B-AHU-22</t>
  </si>
  <si>
    <t>B-AHU-R1</t>
  </si>
  <si>
    <t>Tablero de Distribución Laboratorio</t>
  </si>
  <si>
    <t>B-TD-239-1</t>
  </si>
  <si>
    <t>B-TD-239-2</t>
  </si>
  <si>
    <t>Tablero Servicios Generales Piso 1</t>
  </si>
  <si>
    <t>B-TSG-239-1</t>
  </si>
  <si>
    <t>Tablero Servicios Generales Piso 2</t>
  </si>
  <si>
    <t>B-TSG-239-2</t>
  </si>
  <si>
    <t>Tablero General de Alumbrado</t>
  </si>
  <si>
    <t>B-TAL-239</t>
  </si>
  <si>
    <t>B-UPS-239A</t>
  </si>
  <si>
    <t>B-UPS-239B</t>
  </si>
  <si>
    <t>Bypass UPS-239A</t>
  </si>
  <si>
    <t>B-Bypass UPS-239A</t>
  </si>
  <si>
    <t>Bypass UPS-239B</t>
  </si>
  <si>
    <t>B-Bypass UPS-239B</t>
  </si>
  <si>
    <t xml:space="preserve">Tablero de Cargas Críticas Analitica </t>
  </si>
  <si>
    <t>B-TCC-239-1</t>
  </si>
  <si>
    <t xml:space="preserve">Tablero de Cargas Críticas Comunicaciones </t>
  </si>
  <si>
    <t>B-TCC-239-2</t>
  </si>
  <si>
    <t>HORNO PARA GOMAS - EXISTENTE</t>
  </si>
  <si>
    <t>B-AE37267</t>
  </si>
  <si>
    <t>BALANZA PARA CABINA DE AMBIENTE CONTROLADO</t>
  </si>
  <si>
    <t>B-AE37661</t>
  </si>
  <si>
    <t>HORNO DE INSTRUMENTAL</t>
  </si>
  <si>
    <t>B-AE37181</t>
  </si>
  <si>
    <t>REVISIÓN POR REPOSICIÓN</t>
  </si>
  <si>
    <t>B-AE37107</t>
  </si>
  <si>
    <t>PUNTO DE INFLAMACIÓN PENSKY</t>
  </si>
  <si>
    <t>B-AE37108</t>
  </si>
  <si>
    <t>B-AE37029</t>
  </si>
  <si>
    <t>GENERADOR DE AIRE</t>
  </si>
  <si>
    <t>B-AE37184</t>
  </si>
  <si>
    <t>TAG CERRADO AUTOMÁTICO</t>
  </si>
  <si>
    <t>B-AE37245</t>
  </si>
  <si>
    <t>EQUIPO PUNTO DE INFLAMACIÓN - NUEVO</t>
  </si>
  <si>
    <t>B-AE37638</t>
  </si>
  <si>
    <t>BAÑO 2 TBP</t>
  </si>
  <si>
    <t>B-AE37634</t>
  </si>
  <si>
    <t>EQUIPO PUNTO DE INFLAMACIÓN TAG CERRADO - NUEVO</t>
  </si>
  <si>
    <t>B-AE37611</t>
  </si>
  <si>
    <t>PUNTO DE INFLAMACIÓN CLEVELAND MANUAL</t>
  </si>
  <si>
    <t>B-AE37106</t>
  </si>
  <si>
    <t>GUILLOTINA TROQUELADORA</t>
  </si>
  <si>
    <t>B-AE37401</t>
  </si>
  <si>
    <t>PUNTO DE INFLAMACIÓN COPA CERRADA</t>
  </si>
  <si>
    <t>B-AE37496</t>
  </si>
  <si>
    <t>EQUIPO DE PUNTO DE INFLAMACIÓN- COPA CERRADA</t>
  </si>
  <si>
    <t>B-AE37256</t>
  </si>
  <si>
    <t>EQUIPO IQT - NUEVO</t>
  </si>
  <si>
    <t>B-AE37674</t>
  </si>
  <si>
    <t>EQUIPO PC PARA IQT</t>
  </si>
  <si>
    <t>B-0</t>
  </si>
  <si>
    <t>EQUIPO IQT</t>
  </si>
  <si>
    <t>B-AE37102</t>
  </si>
  <si>
    <t>EQUIPO PUNTO DE INFLAMACIÓN</t>
  </si>
  <si>
    <t>B-AE37495</t>
  </si>
  <si>
    <t xml:space="preserve">BAÑO CORROSIÓN - </t>
  </si>
  <si>
    <t>B-AE3746*</t>
  </si>
  <si>
    <t>HORNO DE DESTILACIONES</t>
  </si>
  <si>
    <t>B-AE37059</t>
  </si>
  <si>
    <t>MUFLA PARA SILICE</t>
  </si>
  <si>
    <t>B-AE37121</t>
  </si>
  <si>
    <t>HORNO DE SECADO DE MATERIAL</t>
  </si>
  <si>
    <t>B-AE37231</t>
  </si>
  <si>
    <t>EQUIPO DE OXIDACIÓN TERMINA DEL JET</t>
  </si>
  <si>
    <t>B-AE37462</t>
  </si>
  <si>
    <t>B-AE37287</t>
  </si>
  <si>
    <t>ESTABILIDAD A LA OXIDACIÓN DE LAS GASOLINAS</t>
  </si>
  <si>
    <t>B-AE37509</t>
  </si>
  <si>
    <t>ESPECTROFOTÓMETRO FTLA 200</t>
  </si>
  <si>
    <t>B-AE37117</t>
  </si>
  <si>
    <t>CALDERA PARA GOMAS</t>
  </si>
  <si>
    <t>B-AE37442</t>
  </si>
  <si>
    <t>BAÑO BLOQUE SOLIDO PARA GOMAS</t>
  </si>
  <si>
    <t>B-AE37274</t>
  </si>
  <si>
    <t>PUNTO DE ABLANDAMIENTO</t>
  </si>
  <si>
    <t>B-AE37140</t>
  </si>
  <si>
    <t>MICRODESTILADOR</t>
  </si>
  <si>
    <t>B-AE37522</t>
  </si>
  <si>
    <t>PUNTO DESCONGELACIÓN AUTOMÁTICO</t>
  </si>
  <si>
    <t>B-AE37511</t>
  </si>
  <si>
    <t>B-AE37544</t>
  </si>
  <si>
    <t>MICRODESTILADOR AUTOMÁTICO</t>
  </si>
  <si>
    <t>B-AE37507</t>
  </si>
  <si>
    <t>B-AE37501</t>
  </si>
  <si>
    <t>B-AE37548</t>
  </si>
  <si>
    <t>BACK UP BAÑO PARA PENETRACIONES N-1</t>
  </si>
  <si>
    <t>B-AE37621</t>
  </si>
  <si>
    <t>BAÑO PUNTO DE CONGELACIÓN MANUAL  -PURELAB FLEX</t>
  </si>
  <si>
    <t>B-AE37608</t>
  </si>
  <si>
    <t>INFRARROJO ABB MB 3000 - NUEVO</t>
  </si>
  <si>
    <t>B-NIR</t>
  </si>
  <si>
    <t>BAÑOTERMOTASTADO PARA NIR</t>
  </si>
  <si>
    <t>B-AE37631</t>
  </si>
  <si>
    <t>PUNTO DE HUMO AUTOMÁTICO</t>
  </si>
  <si>
    <t>B-AE37603</t>
  </si>
  <si>
    <t>PUNTO DE HUMO MANUAL</t>
  </si>
  <si>
    <t>B-AE37041</t>
  </si>
  <si>
    <t>BAÑO DE REFLOTACIÓN PAD RATING</t>
  </si>
  <si>
    <t>B-AE37601</t>
  </si>
  <si>
    <t xml:space="preserve">REFLECTOMETRO - </t>
  </si>
  <si>
    <t>B-AE37349</t>
  </si>
  <si>
    <t>CABINA DE AMBIENTE CONTROLADO</t>
  </si>
  <si>
    <t>COLOR ASTM</t>
  </si>
  <si>
    <t>B-AE37048</t>
  </si>
  <si>
    <t>BAÑO DE VISCOSIDAD MANUAL</t>
  </si>
  <si>
    <t>B-AE37644</t>
  </si>
  <si>
    <t>BAÑO DE REFRACTÓMETRO</t>
  </si>
  <si>
    <t>B-AE37116</t>
  </si>
  <si>
    <t>EQUIPO ÍNDICE DE REFRACCIÓN ASTM D 1219</t>
  </si>
  <si>
    <t>B-AE37343</t>
  </si>
  <si>
    <t xml:space="preserve">EQUIPO DE BAÑO JULABO PARA PENETRACIÓN </t>
  </si>
  <si>
    <t>B-NUEVO</t>
  </si>
  <si>
    <t>REFRACTÓMETRO AUTOMÁTICO</t>
  </si>
  <si>
    <t>B-AE37606</t>
  </si>
  <si>
    <t>COLORÍMETRO ASTM MANUAL</t>
  </si>
  <si>
    <t>B-AE37264</t>
  </si>
  <si>
    <t>COLORÍMETRO LOVIBOND -SAYBOL</t>
  </si>
  <si>
    <t>B-AE37504</t>
  </si>
  <si>
    <t>MONTAJE DE PUNTO DE FUSIÓN - SAYBOL</t>
  </si>
  <si>
    <t>B-N/A</t>
  </si>
  <si>
    <t>COLORÍMETRO MANUAL SAYBOL</t>
  </si>
  <si>
    <t>B-AE37034</t>
  </si>
  <si>
    <t>CENTRIFUGA</t>
  </si>
  <si>
    <t>B-AE37361</t>
  </si>
  <si>
    <t>DENSÍMETRO</t>
  </si>
  <si>
    <t>B-AE37439</t>
  </si>
  <si>
    <t xml:space="preserve">PENETRÓMETRO </t>
  </si>
  <si>
    <t>B-AE37037</t>
  </si>
  <si>
    <t>B-AE37615</t>
  </si>
  <si>
    <t>BAÑO TERMOTASTADO</t>
  </si>
  <si>
    <t>B-AE37120</t>
  </si>
  <si>
    <t>B-AE37139</t>
  </si>
  <si>
    <t>BALANZA</t>
  </si>
  <si>
    <t>B-AE37656</t>
  </si>
  <si>
    <t>AE37413</t>
  </si>
  <si>
    <t>B-AE37413</t>
  </si>
  <si>
    <t>MICROSEPAROMETRO</t>
  </si>
  <si>
    <t>B-AE37528</t>
  </si>
  <si>
    <t>B-AE37510</t>
  </si>
  <si>
    <t xml:space="preserve">ANÁLISIS DE NAFTALENOS </t>
  </si>
  <si>
    <t>B-AE37530</t>
  </si>
  <si>
    <t>B-AE37236</t>
  </si>
  <si>
    <t>B-AE37680</t>
  </si>
  <si>
    <t xml:space="preserve">HORNO DE CALENTAMIENTO </t>
  </si>
  <si>
    <t>B-AE37179</t>
  </si>
  <si>
    <t>VISCOSÍMETRO ROTACIONAL</t>
  </si>
  <si>
    <t>B-AE37114</t>
  </si>
  <si>
    <t>B-AE37047</t>
  </si>
  <si>
    <t>B-AE37115</t>
  </si>
  <si>
    <t>BAÑO DEMULSIBILIDAD</t>
  </si>
  <si>
    <t>B-AE37123</t>
  </si>
  <si>
    <t>ESPECTROFOTÓMETRO</t>
  </si>
  <si>
    <t>B-AE37064</t>
  </si>
  <si>
    <t>BAÑO DE VISCOSIDAD</t>
  </si>
  <si>
    <t>B-AE37239</t>
  </si>
  <si>
    <t>EQUIPO DE OBTURACIÓN DE FILTRO FRIO</t>
  </si>
  <si>
    <t>B-AE37412</t>
  </si>
  <si>
    <t>PLANCHA CON AGITACIÓN</t>
  </si>
  <si>
    <t>B-AE37425</t>
  </si>
  <si>
    <t>B-SIN TAG</t>
  </si>
  <si>
    <t xml:space="preserve">MINICHILLER </t>
  </si>
  <si>
    <t>B-AE37624</t>
  </si>
  <si>
    <t>BAÑO DE ENFRIAMIENTO ACEITE EN CERA/PUNTO DE NUBE</t>
  </si>
  <si>
    <t>B-AE37497</t>
  </si>
  <si>
    <t>HORNO GIRATORIO PERDIDA DE MASA -ACR</t>
  </si>
  <si>
    <t>B-AE37081</t>
  </si>
  <si>
    <t>HORNO PARA CONDICIONAMIENTO DE MUESTRAS</t>
  </si>
  <si>
    <t>B-AE37068</t>
  </si>
  <si>
    <t>MUFLA PARA CENIZAS</t>
  </si>
  <si>
    <t>B-AE37240</t>
  </si>
  <si>
    <t>BAÑO DE CALENTAMIENTO SIN AGITACIÓN</t>
  </si>
  <si>
    <t>B-AE37555</t>
  </si>
  <si>
    <t>ESTABILIDAD TÉRMICA DEL BIODIESEL</t>
  </si>
  <si>
    <t>B-AE37362</t>
  </si>
  <si>
    <t>NEVERA ALMACENAMIENTO PATRONES POLIETILENO</t>
  </si>
  <si>
    <t>B-AE37421</t>
  </si>
  <si>
    <t>MICROSCOPIO DE ALTA RESOLUCIÓN CON PC (ESTABILIDAD DE CRUDOS)</t>
  </si>
  <si>
    <t>B-S/T</t>
  </si>
  <si>
    <t>PLASMA ÓPTICO</t>
  </si>
  <si>
    <t>B-AE37409</t>
  </si>
  <si>
    <t>B-AE37543</t>
  </si>
  <si>
    <t>NEVERA DE ALMACENAMIENTO DE MUESTRAS</t>
  </si>
  <si>
    <t>B-AE37630</t>
  </si>
  <si>
    <t>HORNO DE CALENTAMIENTO CARBOLITE</t>
  </si>
  <si>
    <t>B-AE37333</t>
  </si>
  <si>
    <t>AGITADOR MAGNÉTICO</t>
  </si>
  <si>
    <t>B-AE37428</t>
  </si>
  <si>
    <t>SISTEMA DE AGITACIÓN</t>
  </si>
  <si>
    <t>B-AE37250</t>
  </si>
  <si>
    <t>BAÑO DE ENFRIAMIENTO</t>
  </si>
  <si>
    <t>B-AE37614</t>
  </si>
  <si>
    <t>B-AE37612</t>
  </si>
  <si>
    <t>B-AE37377</t>
  </si>
  <si>
    <t>BAÑO DE CORROSIÓN</t>
  </si>
  <si>
    <t>B-AE37237</t>
  </si>
  <si>
    <t>B-AE37277</t>
  </si>
  <si>
    <t>MONTAJE DE EXTRACCIÓN DE ACEITE EN CERAS</t>
  </si>
  <si>
    <t>B-AE37244</t>
  </si>
  <si>
    <t>MINIRVP</t>
  </si>
  <si>
    <t>B-AE37286</t>
  </si>
  <si>
    <t>B-AE37516</t>
  </si>
  <si>
    <t>B-AE37080</t>
  </si>
  <si>
    <t>CABINA DE EXTRACCION+37489 COULOMETROC30S</t>
  </si>
  <si>
    <t>B-AE37326</t>
  </si>
  <si>
    <t>PURIFICADOR DE AIRE</t>
  </si>
  <si>
    <t>B-AE37271</t>
  </si>
  <si>
    <t>SECADOR DE AIRE</t>
  </si>
  <si>
    <t>B-AE37453</t>
  </si>
  <si>
    <t>NEVERA ALMACENAMIENTO DE MUESTRAS</t>
  </si>
  <si>
    <t>B-AE37481</t>
  </si>
  <si>
    <t>DESTILADOR OPTIDIST</t>
  </si>
  <si>
    <t>B-AE37552</t>
  </si>
  <si>
    <t>DESTILADOR AUTOMÁTICO</t>
  </si>
  <si>
    <t>B-AE37551</t>
  </si>
  <si>
    <t>DESTILADOR D86</t>
  </si>
  <si>
    <t>B-AE37490</t>
  </si>
  <si>
    <t>B-AE37554</t>
  </si>
  <si>
    <t>B-AE37553</t>
  </si>
  <si>
    <t>B-AE37505</t>
  </si>
  <si>
    <t>B-AE37506</t>
  </si>
  <si>
    <t>B-AE37519</t>
  </si>
  <si>
    <t>PUNTO DE ANILINA</t>
  </si>
  <si>
    <t>B-AE37018</t>
  </si>
  <si>
    <t>ARMARIO PARA CARTAS DE CONTROL</t>
  </si>
  <si>
    <t>B-AE37352</t>
  </si>
  <si>
    <t>ARMARIO PARA MUESTRAS RETENIDAS -</t>
  </si>
  <si>
    <t>B-AE37351</t>
  </si>
  <si>
    <t>EQUIPO PARA MICRO CARBÓN -</t>
  </si>
  <si>
    <t>B-AE37065</t>
  </si>
  <si>
    <t>B-AE37259</t>
  </si>
  <si>
    <t>B-AE37535</t>
  </si>
  <si>
    <t>B-AE37451</t>
  </si>
  <si>
    <t>DENSÍMETRO AUTOMÁTICO</t>
  </si>
  <si>
    <t>B-AE37440</t>
  </si>
  <si>
    <t>VISCOSÍMETRO AUTOMÁTICO</t>
  </si>
  <si>
    <t>B-AE37498</t>
  </si>
  <si>
    <t>B-AE37550</t>
  </si>
  <si>
    <t>B-AE37125</t>
  </si>
  <si>
    <t>B-AE37126</t>
  </si>
  <si>
    <t>BAÑO PARA VISCOSIDAD CINEMÁTICA</t>
  </si>
  <si>
    <t>B-AE37044</t>
  </si>
  <si>
    <t>DESTILADOR N.4</t>
  </si>
  <si>
    <t>B-AE37077</t>
  </si>
  <si>
    <t>BAÑO TBP</t>
  </si>
  <si>
    <t>B-AE37632</t>
  </si>
  <si>
    <t>BOMBA VACÍO TBP</t>
  </si>
  <si>
    <t>B-AE37633</t>
  </si>
  <si>
    <t>BAÑO 3 TBP</t>
  </si>
  <si>
    <t>B-AE37635</t>
  </si>
  <si>
    <t>NEVERA SERIE LRC-15D0188-1504</t>
  </si>
  <si>
    <t>B-AE37483</t>
  </si>
  <si>
    <t>MAQUINA TBP</t>
  </si>
  <si>
    <t>B-AE37540</t>
  </si>
  <si>
    <t>BALANZA TBP</t>
  </si>
  <si>
    <t>B-AE37664</t>
  </si>
  <si>
    <t>BAÑO DE CALENTAMIENTO</t>
  </si>
  <si>
    <t>B-AE37643</t>
  </si>
  <si>
    <t>B-AE37604</t>
  </si>
  <si>
    <t>B-AE37619</t>
  </si>
  <si>
    <t>TERMO REACTOR</t>
  </si>
  <si>
    <t>B-AE37199</t>
  </si>
  <si>
    <t>TERMO REACTOR HACH</t>
  </si>
  <si>
    <t>B-s/t</t>
  </si>
  <si>
    <t>AGITADOR PARA SAL EN CRUDO</t>
  </si>
  <si>
    <t>B-AE37429</t>
  </si>
  <si>
    <t>SECADOR DE MUESTRAS</t>
  </si>
  <si>
    <t>B-AE37385</t>
  </si>
  <si>
    <t>AGITADOR ULTRA TURRAX</t>
  </si>
  <si>
    <t>B-AE37067</t>
  </si>
  <si>
    <t>CONDUCTÍMETRO -PEDACHIMETRO</t>
  </si>
  <si>
    <t>B-AE37567</t>
  </si>
  <si>
    <t>HORNO RA ACONDICIONAMIENTO DE MUESTRAS</t>
  </si>
  <si>
    <t>B-AE37268</t>
  </si>
  <si>
    <t>REÓMETRO</t>
  </si>
  <si>
    <t>B-AE37617</t>
  </si>
  <si>
    <t>INCUBADORA DVO5</t>
  </si>
  <si>
    <t>MONTAJE PARA SALES ESTABLES - DIGESTORES Y 2 PLANCHAS</t>
  </si>
  <si>
    <t>EVAPORADOR DE SOLVENTES</t>
  </si>
  <si>
    <t>B-AE37679</t>
  </si>
  <si>
    <t>HORNO PARA SECADO DE MATERIAL</t>
  </si>
  <si>
    <t>MONTAJE DE SEDIMENTO TOTAL EN HIDROCARBUROS</t>
  </si>
  <si>
    <t>B-AE37525</t>
  </si>
  <si>
    <t>BALANZA PARA MI</t>
  </si>
  <si>
    <t>B-S/N</t>
  </si>
  <si>
    <t>EXTRACTOR GRASAS Y ACEITES</t>
  </si>
  <si>
    <t>B-AE37523</t>
  </si>
  <si>
    <t>DIGESTOR</t>
  </si>
  <si>
    <t>B-AE37532</t>
  </si>
  <si>
    <t>TITULADOR AUTOMÁTICO</t>
  </si>
  <si>
    <t>B-AE37208</t>
  </si>
  <si>
    <t>B-AE37209</t>
  </si>
  <si>
    <t>BALANZA/ERUCAMIDA</t>
  </si>
  <si>
    <t>B-SAE37560</t>
  </si>
  <si>
    <t>NEVERA</t>
  </si>
  <si>
    <t>B-AE37367</t>
  </si>
  <si>
    <t>MAQUINA UNIVERSAL DE ENSAYOS</t>
  </si>
  <si>
    <t>B-AE37616</t>
  </si>
  <si>
    <t>MONTAJE PARA FIA</t>
  </si>
  <si>
    <t>B-AE37190</t>
  </si>
  <si>
    <t>ROTAP GRANULACIÓN</t>
  </si>
  <si>
    <t>B-AE37138</t>
  </si>
  <si>
    <t>B-AE37399</t>
  </si>
  <si>
    <t>ARMARIO/CABINA DE ALMACENAMIENTO TEMPORAL - MUESTRAS</t>
  </si>
  <si>
    <t>B-AE37355</t>
  </si>
  <si>
    <t>ARMARIO/CABINA DE ALMACENAMIENTO SUSTANCIAS CORROSIVAS</t>
  </si>
  <si>
    <t>EQUIPO DE CONDUCTIVIDAD</t>
  </si>
  <si>
    <t>B-AE37678</t>
  </si>
  <si>
    <t>BALANZA AB204</t>
  </si>
  <si>
    <t>B-AE37651</t>
  </si>
  <si>
    <t>BALANZA MS204S</t>
  </si>
  <si>
    <t>B-AE37663</t>
  </si>
  <si>
    <t>B-AE37662</t>
  </si>
  <si>
    <t>BALANZA XP205</t>
  </si>
  <si>
    <t>B-AE37653</t>
  </si>
  <si>
    <t>B-AE37652</t>
  </si>
  <si>
    <t>B-AE37659</t>
  </si>
  <si>
    <t>EQUIPO NUEVO ODORANTES</t>
  </si>
  <si>
    <t>B-AE37682</t>
  </si>
  <si>
    <t>COULOMETRO C30S</t>
  </si>
  <si>
    <t>B-AE37489</t>
  </si>
  <si>
    <t>COLORÍMETRO AUTOMÁTICO LOVIBOND</t>
  </si>
  <si>
    <t>B-AE37499</t>
  </si>
  <si>
    <t>B-AE37557</t>
  </si>
  <si>
    <t>C5 Químicos ASTM D3230, D4377 - Titulador Karl Fisher Nuevo</t>
  </si>
  <si>
    <t>TITULADOR POTENCIOMÉTRICO karl fisher</t>
  </si>
  <si>
    <t>B-AE37461</t>
  </si>
  <si>
    <t>SALINOMETRO</t>
  </si>
  <si>
    <t>B-AE37281</t>
  </si>
  <si>
    <t>B-AE37602</t>
  </si>
  <si>
    <t>B-AE37492</t>
  </si>
  <si>
    <t>B-AE37527</t>
  </si>
  <si>
    <t>BALANZA - VINCULADO AL  TITULADOR AUTOMÁTICO AE37491</t>
  </si>
  <si>
    <t>B-AE37657</t>
  </si>
  <si>
    <t>B-AE37491</t>
  </si>
  <si>
    <t>TITULADOR POTENCIOMÉTRICO</t>
  </si>
  <si>
    <t>B-AE37345</t>
  </si>
  <si>
    <t>HORNO DE CALENTAMIENTO</t>
  </si>
  <si>
    <t>B-AE37335</t>
  </si>
  <si>
    <t>HORNO CALENTAMIENTO DE MUESTRAS</t>
  </si>
  <si>
    <t>B-AE37273</t>
  </si>
  <si>
    <t>EQUIPO DE FILTRABILIDAD DE COMBUSTIBLES</t>
  </si>
  <si>
    <t>B-AE37676</t>
  </si>
  <si>
    <t>EQUIPO PARA ANÁLISIS DE RVP EN CRUDO</t>
  </si>
  <si>
    <t>B-AE37677</t>
  </si>
  <si>
    <t xml:space="preserve"> TITILADOR POTENCIOMÉTRICO CON AUTOMOSTREADOR - ASTM E223, UOP209 </t>
  </si>
  <si>
    <t>B-AE37502</t>
  </si>
  <si>
    <t>BALANZA ACOMPAÑA AL EQUIPO TITULADOR.</t>
  </si>
  <si>
    <t>B-AE37665</t>
  </si>
  <si>
    <t>DES IONIZADOR DE AGUA CON TANQUE</t>
  </si>
  <si>
    <t>B-AE37607</t>
  </si>
  <si>
    <t>DESTILADOR DE AGUA</t>
  </si>
  <si>
    <t>B-AE37609</t>
  </si>
  <si>
    <t>TANQUE DE AGUA DESTILADA</t>
  </si>
  <si>
    <t>B-AE37260</t>
  </si>
  <si>
    <t>EQUIPO DES IONIZADOR BARNSTEAD</t>
  </si>
  <si>
    <t>MUFLA PARA QUEMA DE AZUFRE</t>
  </si>
  <si>
    <t>B-AE37232</t>
  </si>
  <si>
    <t>PLANCHAS DE CALENTAMIENTO PARA CRUDOS Y FONDOS</t>
  </si>
  <si>
    <t>Molino de Bolas MINIMILL II</t>
  </si>
  <si>
    <t>B-AE37197</t>
  </si>
  <si>
    <t>AGITADORES DE MESA - CANTIDAD 2</t>
  </si>
  <si>
    <t xml:space="preserve">BAÑO DE CALENTAMIENTO </t>
  </si>
  <si>
    <t>B-AE37279</t>
  </si>
  <si>
    <t>CROMATÓGRAFO IATROSCAN</t>
  </si>
  <si>
    <t>B-AE37539</t>
  </si>
  <si>
    <t>CROMATÓGRAFO ASOCIADO A EQUIPO AE37639</t>
  </si>
  <si>
    <t>B-AE37562</t>
  </si>
  <si>
    <t>CROMATÓGRAFO DE ERUCAMIDA</t>
  </si>
  <si>
    <t>B-AE37130</t>
  </si>
  <si>
    <t>CABINA MINI EXTRACTORA DE GASES</t>
  </si>
  <si>
    <t>B-AE37389</t>
  </si>
  <si>
    <t>GENERADOR DE HIDROGENO</t>
  </si>
  <si>
    <t>B-AE37359</t>
  </si>
  <si>
    <t>CROMATÓGRAFO GRA GLP</t>
  </si>
  <si>
    <t>B-AE37545</t>
  </si>
  <si>
    <t>CROMATÓGRAFO - CRUDO</t>
  </si>
  <si>
    <t>B-AE37215</t>
  </si>
  <si>
    <t>ESPECTROFOTÓMETRO INFRARROJO</t>
  </si>
  <si>
    <t>B-AE37433</t>
  </si>
  <si>
    <t>CROMATÓGRAFO ASOCIADO A EQUIPO AE37408</t>
  </si>
  <si>
    <t>B-AE37216</t>
  </si>
  <si>
    <t>CROMATÓGRAFO DE CRUDOS</t>
  </si>
  <si>
    <t>B-AE37565</t>
  </si>
  <si>
    <t>CABINA DE RECEPCIÓN MUESTRAS</t>
  </si>
  <si>
    <t>B-AE37324</t>
  </si>
  <si>
    <t>CABINA DE EXTRACCIÓN - COMPARTE CON EL AE37237 BAÑO DE CORROSIÓN</t>
  </si>
  <si>
    <t>B-AE37325</t>
  </si>
  <si>
    <t>CABINA DE EXTRACCIÓN</t>
  </si>
  <si>
    <t>B-AE37323</t>
  </si>
  <si>
    <t>CABINA DE EXTRACCIÓN N. 31</t>
  </si>
  <si>
    <t>B-AE37327</t>
  </si>
  <si>
    <t>TITULADOR COULOMETRICO DL-32 COMPARTE CON LA CABINA AE37323</t>
  </si>
  <si>
    <t>B-AE37103</t>
  </si>
  <si>
    <t>CROMATÓGRAFO DE ETILENO I</t>
  </si>
  <si>
    <t>B-AE37129</t>
  </si>
  <si>
    <t>CROMATÓGRAFO DE ETILENO II</t>
  </si>
  <si>
    <t>B-AE37214</t>
  </si>
  <si>
    <t>B-AE37388</t>
  </si>
  <si>
    <t>CROMATÓGRAFO DE GASES AZUFRADOS EN GLP Y PGR</t>
  </si>
  <si>
    <t>B-AE37347</t>
  </si>
  <si>
    <t>DETECTOR DE QUIMIOLUMINISCENCIA</t>
  </si>
  <si>
    <t>B-AE37441</t>
  </si>
  <si>
    <t>CROMATÓGRAFO DE GASES PRG - ACR</t>
  </si>
  <si>
    <t>B-AE37348</t>
  </si>
  <si>
    <t>CONTROLADOR DE FLUJO DE AIRE E HIDROGENO</t>
  </si>
  <si>
    <t>B-AE37420</t>
  </si>
  <si>
    <t>B-AE37658</t>
  </si>
  <si>
    <t>CROMATÓGRAFO ASOCIADO A EQUIPO AE37562</t>
  </si>
  <si>
    <t>B-AE37639</t>
  </si>
  <si>
    <t>CROMATÓGRAFO DE GASÓLEOS</t>
  </si>
  <si>
    <t>B-AE37110</t>
  </si>
  <si>
    <t>CROMATÓGRAFO DE BIODIESEL - OJO EMPAQUE- ASOCIADO A EQUIPO AE37216</t>
  </si>
  <si>
    <t>B-AE37408</t>
  </si>
  <si>
    <t>CROMATÓGRAFO PARA SIMDIS DE GASOLINAS</t>
  </si>
  <si>
    <t>B-AE37262</t>
  </si>
  <si>
    <t>CROMATOGRAMA DE JET Y ACPM</t>
  </si>
  <si>
    <t>B-AE37284</t>
  </si>
  <si>
    <t>CROMATÓGRAFO DE GASES PIANO</t>
  </si>
  <si>
    <t>B-AE37109</t>
  </si>
  <si>
    <t>CROMATÓGRAFO DE H2S</t>
  </si>
  <si>
    <t>B-AE37424</t>
  </si>
  <si>
    <t>CROMATÓGRAFO DE MASAS</t>
  </si>
  <si>
    <t>B-AE37568</t>
  </si>
  <si>
    <t>B-AE37569</t>
  </si>
  <si>
    <t>CROMATÓGRAFO DE GASES CO, CO2</t>
  </si>
  <si>
    <t>B-AE37211</t>
  </si>
  <si>
    <t>CROMATÓGRAFO GRA-GLP</t>
  </si>
  <si>
    <t xml:space="preserve">CABINA MINI EXTRACTORA DE GASES </t>
  </si>
  <si>
    <t>B-AE37390</t>
  </si>
  <si>
    <t>CROMATÓGRAFO DE GASES GLP</t>
  </si>
  <si>
    <t>B-AE37151</t>
  </si>
  <si>
    <t>CROMATÓGRAFO GASES DE GLP</t>
  </si>
  <si>
    <t>B-AE37210</t>
  </si>
  <si>
    <t>CROMATÓGRAFO GASES DE GLP N.2</t>
  </si>
  <si>
    <t>B-AE37212</t>
  </si>
  <si>
    <t>CROMATÓGRAFO DE GASES DE REFINERÍA</t>
  </si>
  <si>
    <t>B-AE37458</t>
  </si>
  <si>
    <t>AUTOMUESTREADOR CROMATÓGRAFO</t>
  </si>
  <si>
    <t>B-AE37600-1</t>
  </si>
  <si>
    <t>CROMATÓGRAFO IÓNICO</t>
  </si>
  <si>
    <t>B-AE37600</t>
  </si>
  <si>
    <t>B-AE37435</t>
  </si>
  <si>
    <t>ANALIZADOR DE AZUFRE NITRÓGENO Y CLORO -EQUIPO GRANDE FUERA DE SERVICIO</t>
  </si>
  <si>
    <t>B-AE37605</t>
  </si>
  <si>
    <t>CABINA DE EXTRACCIÓN N. 24 -EQUIPOS INTERNO</t>
  </si>
  <si>
    <t>B-AE37320</t>
  </si>
  <si>
    <t>CABINA DE ALMACENAMIENTO TEMPORAL PARA REACTIVOS-VENTILADO</t>
  </si>
  <si>
    <t>B-AE37357</t>
  </si>
  <si>
    <t>CROMATÓGRAFO DE PRODUCTOS AROMÁTICOS I</t>
  </si>
  <si>
    <t>B-AE37213</t>
  </si>
  <si>
    <t>CROMATÓGRAFO DE PRODUCTOS AROMÁTICOS II</t>
  </si>
  <si>
    <t>B-AE37283</t>
  </si>
  <si>
    <t>CROMATÓGRAFO AROMÁTICOS EN GASOLINAS</t>
  </si>
  <si>
    <t>B-AE37282</t>
  </si>
  <si>
    <t>NEVERA PATRONES DE CROMATOGRAFÍA</t>
  </si>
  <si>
    <t>B-AE37330</t>
  </si>
  <si>
    <t>CROMATÓGRAFO SFC - ACR</t>
  </si>
  <si>
    <t>B-AE37270</t>
  </si>
  <si>
    <t>KARL FISCHER COULOMETRICO</t>
  </si>
  <si>
    <t>B-*AE37681</t>
  </si>
  <si>
    <t>CROMATÓGRAFO HPLC- NUEVO</t>
  </si>
  <si>
    <t>B-AE37681</t>
  </si>
  <si>
    <t>CROMATÓGRAFO FLUIDO SUPERCRÍTICO AROMÁTICOS, OLEFINAS</t>
  </si>
  <si>
    <t>B-AE37218</t>
  </si>
  <si>
    <t>NEVERA SERIA LRC-15D0190-1504</t>
  </si>
  <si>
    <t>B-AE37482</t>
  </si>
  <si>
    <t>CABINA DE ALMACENAMIENTO TEMPORAL VENTILADO</t>
  </si>
  <si>
    <t>B-AE37356</t>
  </si>
  <si>
    <t>B-AE37263</t>
  </si>
  <si>
    <t>EXTRACTOR EROCAMIDA</t>
  </si>
  <si>
    <t>B-AE37610</t>
  </si>
  <si>
    <t>PLANCHAS PARA CALENTAMIENTO Y QUEMA - 2- MÉTODOS</t>
  </si>
  <si>
    <t>B-AE37436</t>
  </si>
  <si>
    <t>BAÑO ULTRASONIDO</t>
  </si>
  <si>
    <t>B-AE37426</t>
  </si>
  <si>
    <t>B-AE37026</t>
  </si>
  <si>
    <t>BALANZA PARA DENSIDAD DE POLIETILENO</t>
  </si>
  <si>
    <t>PLASTOMETRO</t>
  </si>
  <si>
    <t>B-AE37003</t>
  </si>
  <si>
    <t>B-AE37000</t>
  </si>
  <si>
    <t>B-AE37503</t>
  </si>
  <si>
    <t>B-AE37508</t>
  </si>
  <si>
    <t>RETROPROYECTOR GELES</t>
  </si>
  <si>
    <t>ELUTRIADOR</t>
  </si>
  <si>
    <t>COLORÍMETRO</t>
  </si>
  <si>
    <t>B-AE37350</t>
  </si>
  <si>
    <t>ESPECTO FTIR . EQUIPO INFRARROJO</t>
  </si>
  <si>
    <t>B-AE37434</t>
  </si>
  <si>
    <t>DESHUMIDIFICADOR Y VINCULADO AL AE37434</t>
  </si>
  <si>
    <t>B-AE37450</t>
  </si>
  <si>
    <t>PRENSA HIDRÁULICA</t>
  </si>
  <si>
    <t>B-AE 37022</t>
  </si>
  <si>
    <t>B-AE 37278</t>
  </si>
  <si>
    <t>EXTRUSOR1</t>
  </si>
  <si>
    <t>B-AE 37135</t>
  </si>
  <si>
    <t>B-AE37627</t>
  </si>
  <si>
    <t>B-AE 37031</t>
  </si>
  <si>
    <t>BAÑO METROLOGÍA</t>
  </si>
  <si>
    <t>B-AE37253</t>
  </si>
  <si>
    <t>BAÑO PARA CALIBRACIÓN DE TERMÓMETROS</t>
  </si>
  <si>
    <t>B-AE37512</t>
  </si>
  <si>
    <t>BAÑO PARA CALIBRACIÓN DE TERMÓMETROS Y CAPILARES (20A230ºC)</t>
  </si>
  <si>
    <t>B-AE37480</t>
  </si>
  <si>
    <t>BAÑO METROLOGÍA (80A250ºC)</t>
  </si>
  <si>
    <t>B-AE37255</t>
  </si>
  <si>
    <t>MAQUINA DE RON - OCTANAJE</t>
  </si>
  <si>
    <t>B-AE37411</t>
  </si>
  <si>
    <t>MAQUINA DE MON</t>
  </si>
  <si>
    <t>B-AE37058</t>
  </si>
  <si>
    <t>ANALIZADOR MULTIFUNCIONAL</t>
  </si>
  <si>
    <t>B-AE37220</t>
  </si>
  <si>
    <t>COLORÍMETRO NESSLERISER</t>
  </si>
  <si>
    <t>B-AE37513</t>
  </si>
  <si>
    <t>BOMBA DE VACÍO DE PATRONES</t>
  </si>
  <si>
    <t>B-AE37443</t>
  </si>
  <si>
    <t>MEZCLADOR AUTOMÁTICO DE PATRONES</t>
  </si>
  <si>
    <t>B-AE37276</t>
  </si>
  <si>
    <t>MAQUINA SUPERCARGA</t>
  </si>
  <si>
    <t>B-AE37056</t>
  </si>
  <si>
    <t>MONTAJE DE EXTRACCIÓN LIQUIDO  - GRASAS Y ACEITES</t>
  </si>
  <si>
    <t>MONTAJE PARA ACIDEZ</t>
  </si>
  <si>
    <t>EQUIPO RAYOS X</t>
  </si>
  <si>
    <t>B-AE37432</t>
  </si>
  <si>
    <t>CHILLER RAYOS X</t>
  </si>
  <si>
    <t>B-AE37457</t>
  </si>
  <si>
    <t>PENDIENTE POR CONFIRMAR</t>
  </si>
  <si>
    <t>ANALIZADOR DE AZUFRE XOS</t>
  </si>
  <si>
    <t>B-AE37538</t>
  </si>
  <si>
    <t>UNIDAD COMPRESORA</t>
  </si>
  <si>
    <t>Tomas Servicios generales Piso 1</t>
  </si>
  <si>
    <t>B-TSG-239-1-C1</t>
  </si>
  <si>
    <t>B-TSG-239-1-C2</t>
  </si>
  <si>
    <t>B-TSG-239-1-C3</t>
  </si>
  <si>
    <t>B-TSG-239-1-C4</t>
  </si>
  <si>
    <t>B-TSG-239-1-C5</t>
  </si>
  <si>
    <t>B-TSG-239-1-C6</t>
  </si>
  <si>
    <t>B-TSG-239-1-C7</t>
  </si>
  <si>
    <t>B-TSG-239-1-C8</t>
  </si>
  <si>
    <t>B-TSG-239-1-C9</t>
  </si>
  <si>
    <t>B-TSG-239-1-C10</t>
  </si>
  <si>
    <t>B-TSG-239-1-C11</t>
  </si>
  <si>
    <t>B-TSG-239-1-C12</t>
  </si>
  <si>
    <t>B-TSG-239-1-C13</t>
  </si>
  <si>
    <t>B-TSG-239-1-C14</t>
  </si>
  <si>
    <t>B-TSG-239-1-C15</t>
  </si>
  <si>
    <t>B-TSG-239-1-C16</t>
  </si>
  <si>
    <t>B-TSG-239-1-C17</t>
  </si>
  <si>
    <t>B-TSG-239-1-C18</t>
  </si>
  <si>
    <t>B-TSG-239-1-C19</t>
  </si>
  <si>
    <t>B-TSG-239-1-C20</t>
  </si>
  <si>
    <t>Tomas Servicios generales Piso 2</t>
  </si>
  <si>
    <t>B-TSG-239-2-C1</t>
  </si>
  <si>
    <t>B-TSG-239-2-C2</t>
  </si>
  <si>
    <t>B-TSG-239-2-C3</t>
  </si>
  <si>
    <t>B-TSG-239-2-C4</t>
  </si>
  <si>
    <t>Tomas Microondas</t>
  </si>
  <si>
    <t>B-TSG-239-2-C5</t>
  </si>
  <si>
    <t>B-TSG-239-2-C6</t>
  </si>
  <si>
    <t>Toma Nevera</t>
  </si>
  <si>
    <t>B-TSG-239-2-C7</t>
  </si>
  <si>
    <t>Toma Baños hombres</t>
  </si>
  <si>
    <t>B-TSG-239-2-C8</t>
  </si>
  <si>
    <t>Toma Baños mujeres</t>
  </si>
  <si>
    <t>B-TSG-239-2-C9</t>
  </si>
  <si>
    <t>Panel de Incendios</t>
  </si>
  <si>
    <t>Salidas cargas criticas Cromatografía</t>
  </si>
  <si>
    <t>Salidas cargas criticas Estrectroscopicos</t>
  </si>
  <si>
    <t>B-TCC-239-3</t>
  </si>
  <si>
    <t>Salidas cargas criticas Químicos</t>
  </si>
  <si>
    <t>B-TCC-239-4</t>
  </si>
  <si>
    <t>Salidas cargas criticas Físicos 1</t>
  </si>
  <si>
    <t>B-TCC-239-5</t>
  </si>
  <si>
    <t>Salidas cargas criticas Físicos 2</t>
  </si>
  <si>
    <t>B-TCC-239-6</t>
  </si>
  <si>
    <t>Salidas cargas criticas Cuarto Inflamación y Área Caliente</t>
  </si>
  <si>
    <t>B-TCC-239-7</t>
  </si>
  <si>
    <t>Salidas cargas criticas Área Polietileno y metrología</t>
  </si>
  <si>
    <t>B-TCC-239-8</t>
  </si>
  <si>
    <t>Salidas cargas criticas Oficinas - Piso 1</t>
  </si>
  <si>
    <t>B-TCC-239-9</t>
  </si>
  <si>
    <t>Salidas cargas criticas Oficinas - Piso 2</t>
  </si>
  <si>
    <t>B-TCC-239-10</t>
  </si>
  <si>
    <t>Tablero Subestación eléctrica</t>
  </si>
  <si>
    <t>B-TCC-239-11</t>
  </si>
  <si>
    <t>Tablero de control del sistema HVAC</t>
  </si>
  <si>
    <t>B-TCC-239-12</t>
  </si>
  <si>
    <t>Tablero del sistema EBI</t>
  </si>
  <si>
    <t>B-TCC-239-13</t>
  </si>
  <si>
    <t>Tablero de control del elevador</t>
  </si>
  <si>
    <t>B-TCC-239-14</t>
  </si>
  <si>
    <t>Tablero de control del sistema AC-1</t>
  </si>
  <si>
    <t>B-TCC-239-15</t>
  </si>
  <si>
    <t>Tablero de control del sistema AC-2</t>
  </si>
  <si>
    <t>B-TCC-239-16</t>
  </si>
  <si>
    <t>Tablero de control del sistema de vacío</t>
  </si>
  <si>
    <t>B-TCC-239-17</t>
  </si>
  <si>
    <t>CCTV Externo</t>
  </si>
  <si>
    <t>B-TCC-239-2-C1</t>
  </si>
  <si>
    <t>CCTV Interno</t>
  </si>
  <si>
    <t>B-TCC-239-2-C2</t>
  </si>
  <si>
    <t>Control de Accesos Externo</t>
  </si>
  <si>
    <t>B-TCC-239-2-C3</t>
  </si>
  <si>
    <t>Control de Accesos Interno</t>
  </si>
  <si>
    <t>B-TCC-239-2-C4</t>
  </si>
  <si>
    <t>Sistema de Voz y Datos Acceso</t>
  </si>
  <si>
    <t>B-TCC-239-2-C5</t>
  </si>
  <si>
    <t>Sistema de Voz y Datos Distribuido</t>
  </si>
  <si>
    <t>B-TCC-239-2-C6</t>
  </si>
  <si>
    <t>📊  AVANCE POR ACTIVIDAD — Conectado a MASTER_ACTIVIDADES &amp; QC_DETALLE  |  Yesid Cruz</t>
  </si>
  <si>
    <t>CANTIDAD TOTAL (MASTER)</t>
  </si>
  <si>
    <t>EJECUTADO TOTAL (QC)</t>
  </si>
  <si>
    <t>AVANCE PONDERADO</t>
  </si>
  <si>
    <t>📅  PLAN SEMANAL — Programado vs. Ejecutado  |  QA/QC PRO Dashboard — Yesid Cruz</t>
  </si>
  <si>
    <t>FECHA</t>
  </si>
  <si>
    <t>CANT. PROGRAMADA</t>
  </si>
  <si>
    <t>CANT. EJECUTADA</t>
  </si>
  <si>
    <t>DESVIACION</t>
  </si>
  <si>
    <t>📜  CONTROL DE CERTIFICADOS — Calibración &amp; Conformidad de Materiales  |  Yesid Cruz</t>
  </si>
  <si>
    <t>TIPO CERTIFICADO</t>
  </si>
  <si>
    <t>EQUIPO/MATERIAL</t>
  </si>
  <si>
    <t>PESO</t>
  </si>
  <si>
    <t>CONTRATISTA</t>
  </si>
  <si>
    <t>CERT-001-AZUFRE-CALIBRACION</t>
  </si>
  <si>
    <t>Cert. Calibración</t>
  </si>
  <si>
    <t>Transmisor TT-301 Presión</t>
  </si>
  <si>
    <t>Instrumentación</t>
  </si>
  <si>
    <t>FERMAR</t>
  </si>
  <si>
    <t>Transmisor TT-401 Temperatura</t>
  </si>
  <si>
    <t>CERT-002-C-AZUFRE-MATERIALES</t>
  </si>
  <si>
    <t>Conformidad Materiales</t>
  </si>
  <si>
    <t>Cable 4x10 AWG — Rollo 100m</t>
  </si>
  <si>
    <t>Bandeja Portacables 200x100</t>
  </si>
  <si>
    <t>Megóhmetro Fluke 1550C</t>
  </si>
  <si>
    <t>CERT-001-NUEVOLAB-CALIBRACION</t>
  </si>
  <si>
    <t>Telurometro</t>
  </si>
  <si>
    <t>Electricaa</t>
  </si>
  <si>
    <t>OBCIPOL</t>
  </si>
  <si>
    <t>Megóhmetro</t>
  </si>
  <si>
    <t>Multimetro</t>
  </si>
  <si>
    <t>CERT-002-C-NUEVOLAB-MATERIALES</t>
  </si>
  <si>
    <t>Cable SPT</t>
  </si>
  <si>
    <t>CERT-001-LBCC-CALIBRACION</t>
  </si>
  <si>
    <t>CERT-002-LBCC-MATERIALES</t>
  </si>
  <si>
    <t>Cable THW 1/0 AWG</t>
  </si>
  <si>
    <t>Pinza Voltech AT3600</t>
  </si>
  <si>
    <t>📋  CONSOLIDADO POR PROYECTO — KPIs Globales  |  Responsable: Yesid Cruz</t>
  </si>
  <si>
    <t>PROYECTO CORTO</t>
  </si>
  <si>
    <t>PROYECTO LARGO</t>
  </si>
  <si>
    <t>TOTAL ITEMS (APLICA=SI)</t>
  </si>
  <si>
    <t>PENDIENTES</t>
  </si>
  <si>
    <t>% AVANCE TOTAL</t>
  </si>
  <si>
    <t>% AVANCE QA</t>
  </si>
  <si>
    <t>% AVANCE QC</t>
  </si>
  <si>
    <t>ESTADO GENERAL</t>
  </si>
  <si>
    <t>TOTAL GLOBAL — Todos los proyectos</t>
  </si>
  <si>
    <t>⚠️  REGISTRO DE NO CONFORMIDADES (NC)  |  QA/QC PRO Dashboard — Yesid Cruz</t>
  </si>
  <si>
    <t>N° NC</t>
  </si>
  <si>
    <t>FECHA DETECCIÓN</t>
  </si>
  <si>
    <t>DESCRIPCIÓN</t>
  </si>
  <si>
    <t>CAUSA RAÍZ</t>
  </si>
  <si>
    <t>RESPONSABLE CIERRE</t>
  </si>
  <si>
    <t>FECHA LÍMITE</t>
  </si>
  <si>
    <t>ACCION CORRECTIVA</t>
  </si>
  <si>
    <t>EVIDENCIA</t>
  </si>
  <si>
    <t>NCR-008</t>
  </si>
  <si>
    <t>20/05/2025</t>
  </si>
  <si>
    <t>Oxidación severa en perfiles soporte de bandejas portacables en área B-2880, tramo entre B-03 y B-07</t>
  </si>
  <si>
    <t>No se puede evidenciar la calidad del los perfiles, el contratista no presenta certificado de calidad avalados por la ONAC</t>
  </si>
  <si>
    <t>06/06/2025</t>
  </si>
  <si>
    <t>🔴 Abierta</t>
  </si>
  <si>
    <t>Cambiar los perfiles y presentar certificacion de conformidad RETIE</t>
  </si>
  <si>
    <t>Fotos 1</t>
  </si>
  <si>
    <t>NCR-009</t>
  </si>
  <si>
    <t>Fotos 2</t>
  </si>
  <si>
    <t>⚙️  CALC_DATA — Tabla auxiliar de KPIs (alimenta DASHBOARD_PRO) — NO EDITAR MANUALMENTE</t>
  </si>
  <si>
    <t>PROYECTO_CORTO</t>
  </si>
  <si>
    <t>PROYECTO_LARGO</t>
  </si>
  <si>
    <t>TOTAL_ITEMS</t>
  </si>
  <si>
    <t>PCT_AVANCE</t>
  </si>
  <si>
    <t>QA_PCT</t>
  </si>
  <si>
    <t>QC_PCT</t>
  </si>
  <si>
    <t>PROYECTO 4</t>
  </si>
  <si>
    <t>PROYECTO 5</t>
  </si>
  <si>
    <t>PROYECTO 6</t>
  </si>
  <si>
    <t>PROYECTO 7</t>
  </si>
  <si>
    <t>PROYECTO 8</t>
  </si>
  <si>
    <t>PROYECTO 9</t>
  </si>
  <si>
    <t>PROYECTO 10</t>
  </si>
  <si>
    <t>KPI</t>
  </si>
  <si>
    <t>VALOR</t>
  </si>
  <si>
    <t>CUMPLIMIENTO_%</t>
  </si>
  <si>
    <t>TOTAL_ACTIVIDADES</t>
  </si>
  <si>
    <t>COMPLETAS</t>
  </si>
  <si>
    <t>AVANCE_POND_GLOBAL</t>
  </si>
  <si>
    <t>AVANCE_QA</t>
  </si>
  <si>
    <t>AVANCE_QC</t>
  </si>
  <si>
    <t>NC_ABIERTAS</t>
  </si>
  <si>
    <t>CERT_ENTREGADOS</t>
  </si>
  <si>
    <t>⚡  INSTRUCCIONES DE USO  —  QA/QC PRO Dashboard  |  Yesid Cruz</t>
  </si>
  <si>
    <t>🔄  CÓMO ACTUALIZAR DATOS</t>
  </si>
  <si>
    <t>Paso 1</t>
  </si>
  <si>
    <t>MASTER_ACTIVIDADES: Agregar/editar actividades. Actualizar ESTADO a 'Completo' cuando se termine.</t>
  </si>
  <si>
    <t>Paso 2</t>
  </si>
  <si>
    <t>QC_DETALLE: Actualizar columna EJECUTADO para cada TAG/elemento inspeccionado.</t>
  </si>
  <si>
    <t>Paso 3</t>
  </si>
  <si>
    <t>PLAN_SEMANAL: Agregar filas con FECHA, SEMANA (número), PROYECTO y cantidades.</t>
  </si>
  <si>
    <t>Paso 4</t>
  </si>
  <si>
    <t>Presionar el botón 🔄 en DASHBOARD_PRO para recalcular todo.  Ctrl+Alt+F9 también funciona.</t>
  </si>
  <si>
    <t>⚙️  MACRO VBA — Código para botón 🔄 ACTUALIZAR</t>
  </si>
  <si>
    <t>Sub ActualizarDashboard()</t>
  </si>
  <si>
    <t xml:space="preserve">    ' ── Macro vinculada al botón 🔄 en DASHBOARD_PRO ──</t>
  </si>
  <si>
    <t xml:space="preserve">    ' Autor: Yesid Cruz — QA/QC PRO Dashboard</t>
  </si>
  <si>
    <t xml:space="preserve">    Dim ws As Worksheet</t>
  </si>
  <si>
    <t xml:space="preserve">    Set ws = ThisWorkbook.Sheets("DASHBOARD_PRO")</t>
  </si>
  <si>
    <t xml:space="preserve">    </t>
  </si>
  <si>
    <t xml:space="preserve">    ' 1. Recalcular todas las fórmulas</t>
  </si>
  <si>
    <t xml:space="preserve">    Application.CalculateFull</t>
  </si>
  <si>
    <t xml:space="preserve">    ' 2. Refrescar conexiones (si existen)</t>
  </si>
  <si>
    <t xml:space="preserve">    ThisWorkbook.RefreshAll</t>
  </si>
  <si>
    <t xml:space="preserve">    ' 3. Registrar fecha/hora de última actualización</t>
  </si>
  <si>
    <t xml:space="preserve">    ws.Range("B3").Value = "Dashboard Actualizado por Yesid Cruz el " &amp; _</t>
  </si>
  <si>
    <t xml:space="preserve">                            Format(Now(), "DD/MM/YYYY HH:MM:SS")</t>
  </si>
  <si>
    <t xml:space="preserve">    ' 4. Notificar al usuario</t>
  </si>
  <si>
    <t xml:space="preserve">    MsgBox "✅ Dashboard actualizado correctamente." &amp; Chr(13) &amp; _</t>
  </si>
  <si>
    <t xml:space="preserve">           "Fecha: " &amp; Format(Now(), "DD/MM/YYYY HH:MM:SS"), _</t>
  </si>
  <si>
    <t xml:space="preserve">           vbInformation, "QA/QC PRO Dashboard — Yesid Cruz"</t>
  </si>
  <si>
    <t>End Sub</t>
  </si>
  <si>
    <t>📋  ESTRUCTURA DE HOJAS</t>
  </si>
  <si>
    <t>MASTER_ACTIVIDADES</t>
  </si>
  <si>
    <t>Hoja base principal. Registra todas las actividades QA/QC. Fuente única de verdad.</t>
  </si>
  <si>
    <t>QC_DETALLE</t>
  </si>
  <si>
    <t>Detalle elemento a elemento de inspecciones (TAG, tipo ensayo, prog/ejec).</t>
  </si>
  <si>
    <t>AVANCE</t>
  </si>
  <si>
    <t>Avance consolidado por ID de actividad — alimentado automáticamente.</t>
  </si>
  <si>
    <t>PLAN_SEMANAL</t>
  </si>
  <si>
    <t>Programación semanal vs ejecución real. Desviación y % cumplimiento automáticos.</t>
  </si>
  <si>
    <t>CERTIFICADOS</t>
  </si>
  <si>
    <t>Control de certificados de calibración y conformidad de materiales.</t>
  </si>
  <si>
    <t>CONSOLIDADO</t>
  </si>
  <si>
    <t>Resumen ejecutivo por proyecto con % QA, QC y Total.</t>
  </si>
  <si>
    <t>CALC_DATA</t>
  </si>
  <si>
    <t>Tabla auxiliar de KPIs — NO EDITAR MANUALMENTE. Alimenta DASHBOARD_PRO.</t>
  </si>
  <si>
    <t>REGISTRO_NC</t>
  </si>
  <si>
    <t>Registro de No Conformidades y seguimiento de acciones correctivas.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</si>
</sst>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0" x14ac:knownFonts="1">
    <font>
      <sz val="11"/>
      <color theme="1"/>
      <name val="Calibri"/>
      <family val="2"/>
      <charset val="1"/>
    </font>
    <font>
      <b/>
      <sz val="16"/>
      <color rgb="FFFFD700"/>
      <name val="Calibri"/>
      <family val="2"/>
    </font>
    <font>
      <i/>
      <sz val="11"/>
      <color rgb="FFFFFFFF"/>
      <name val="Calibri"/>
      <family val="2"/>
    </font>
    <font>
      <b/>
      <sz val="9"/>
      <color rgb="FF1B2A4A"/>
      <name val="Calibri"/>
      <family val="2"/>
    </font>
    <font>
      <i/>
      <sz val="9"/>
      <color rgb="FF777777"/>
      <name val="Calibri"/>
      <family val="2"/>
    </font>
    <font>
      <b/>
      <sz val="9"/>
      <color rgb="FFFFFFFF"/>
      <name val="Calibri"/>
      <family val="2"/>
    </font>
    <font>
      <b/>
      <sz val="11"/>
      <color rgb="FFFFFFFF"/>
      <name val="Calibri"/>
      <family val="2"/>
    </font>
    <font>
      <b/>
      <sz val="22"/>
      <color rgb="FFFFD700"/>
      <name val="Calibri"/>
      <family val="2"/>
    </font>
    <font>
      <i/>
      <sz val="8"/>
      <color rgb="FFF2F4F7"/>
      <name val="Calibri"/>
      <family val="2"/>
    </font>
    <font>
      <b/>
      <sz val="10"/>
      <color rgb="FFFFD700"/>
      <name val="Calibri"/>
      <family val="2"/>
    </font>
    <font>
      <b/>
      <sz val="8"/>
      <color rgb="FFFFFFFF"/>
      <name val="Calibri"/>
      <family val="2"/>
    </font>
    <font>
      <sz val="9"/>
      <color rgb="FF000000"/>
      <name val="Calibri"/>
      <family val="2"/>
    </font>
    <font>
      <b/>
      <sz val="11"/>
      <color rgb="FF4A6FA5"/>
      <name val="Calibri"/>
      <family val="2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  <font>
      <b/>
      <sz val="12"/>
      <color rgb="FFFFFFFF"/>
      <name val="Arial"/>
      <family val="2"/>
    </font>
    <font>
      <b/>
      <sz val="10"/>
      <name val="Arial"/>
      <family val="2"/>
    </font>
    <font>
      <b/>
      <sz val="13"/>
      <color rgb="FFFFD700"/>
      <name val="Calibri"/>
      <family val="2"/>
    </font>
    <font>
      <b/>
      <sz val="10"/>
      <color rgb="FF4A6FA5"/>
      <name val="Calibri"/>
      <family val="2"/>
    </font>
    <font>
      <sz val="10"/>
      <color rgb="FF000000"/>
      <name val="Calibri"/>
      <family val="2"/>
    </font>
    <font>
      <b/>
      <sz val="11"/>
      <color rgb="FFFFD700"/>
      <name val="Calibri"/>
      <family val="2"/>
    </font>
    <font>
      <sz val="9"/>
      <color rgb="FF003366"/>
      <name val="Courier New"/>
      <family val="3"/>
    </font>
    <font>
      <b/>
      <sz val="11"/>
      <color theme="0"/>
      <name val="Calibri"/>
      <family val="2"/>
      <charset val="1"/>
    </font>
    <font>
      <sz val="10"/>
      <name val="Arial"/>
      <family val="2"/>
      <charset val="1"/>
    </font>
    <font>
      <sz val="8"/>
      <name val="Calibri"/>
      <family val="2"/>
      <charset val="1"/>
    </font>
    <font>
      <sz val="10"/>
      <color theme="1"/>
      <name val="Arial"/>
      <family val="2"/>
    </font>
    <font>
      <sz val="11"/>
      <color rgb="FFFF0000"/>
      <name val="Calibri"/>
      <family val="2"/>
      <charset val="1"/>
    </font>
    <font>
      <sz val="10"/>
      <name val="Arial"/>
      <charset val="1"/>
    </font>
  </fonts>
  <fills count="24">
    <fill>
      <patternFill patternType="none"/>
    </fill>
    <fill>
      <patternFill patternType="gray125"/>
    </fill>
    <fill>
      <patternFill patternType="solid">
        <fgColor rgb="FF1B2A4A"/>
        <bgColor rgb="FF1F3864"/>
      </patternFill>
    </fill>
    <fill>
      <patternFill patternType="solid">
        <fgColor rgb="FF4A6FA5"/>
        <bgColor rgb="FF2E75B6"/>
      </patternFill>
    </fill>
    <fill>
      <patternFill patternType="solid">
        <fgColor rgb="FFFFD700"/>
        <bgColor rgb="FFFFFF00"/>
      </patternFill>
    </fill>
    <fill>
      <patternFill patternType="solid">
        <fgColor rgb="FF8B0000"/>
        <bgColor rgb="FF800000"/>
      </patternFill>
    </fill>
    <fill>
      <patternFill patternType="solid">
        <fgColor rgb="FF1B5E20"/>
        <bgColor rgb="FF00695C"/>
      </patternFill>
    </fill>
    <fill>
      <patternFill patternType="solid">
        <fgColor rgb="FF1DB954"/>
        <bgColor rgb="FF2E7D32"/>
      </patternFill>
    </fill>
    <fill>
      <patternFill patternType="solid">
        <fgColor rgb="FFFFFFFF"/>
        <bgColor rgb="FFF9F9F9"/>
      </patternFill>
    </fill>
    <fill>
      <patternFill patternType="solid">
        <fgColor rgb="FFF2F4F7"/>
        <bgColor rgb="FFF0F4FF"/>
      </patternFill>
    </fill>
    <fill>
      <patternFill patternType="solid">
        <fgColor rgb="FFF5A623"/>
        <bgColor rgb="FFFFD700"/>
      </patternFill>
    </fill>
    <fill>
      <patternFill patternType="solid">
        <fgColor rgb="FFE53935"/>
        <bgColor rgb="FFE65100"/>
      </patternFill>
    </fill>
    <fill>
      <patternFill patternType="solid">
        <fgColor rgb="FF1F3864"/>
        <bgColor rgb="FF1B2A4A"/>
      </patternFill>
    </fill>
    <fill>
      <patternFill patternType="solid">
        <fgColor rgb="FF2E75B6"/>
        <bgColor rgb="FF4A6FA5"/>
      </patternFill>
    </fill>
    <fill>
      <patternFill patternType="solid">
        <fgColor rgb="FFEBF3FB"/>
        <bgColor rgb="FFF0F4FF"/>
      </patternFill>
    </fill>
    <fill>
      <patternFill patternType="solid">
        <fgColor rgb="FFC00000"/>
        <bgColor rgb="FFB71C1C"/>
      </patternFill>
    </fill>
    <fill>
      <patternFill patternType="solid">
        <fgColor rgb="FFFFF2CC"/>
        <bgColor rgb="FFF2F4F7"/>
      </patternFill>
    </fill>
    <fill>
      <patternFill patternType="solid">
        <fgColor rgb="FF404040"/>
        <bgColor rgb="FF37474F"/>
      </patternFill>
    </fill>
    <fill>
      <patternFill patternType="solid">
        <fgColor rgb="FF595959"/>
        <bgColor rgb="FF37474F"/>
      </patternFill>
    </fill>
    <fill>
      <patternFill patternType="solid">
        <fgColor rgb="FFF0F4FF"/>
        <bgColor rgb="FFF2F4F7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89013336588644"/>
        <bgColor rgb="FFD9D9D9"/>
      </patternFill>
    </fill>
  </fills>
  <borders count="33">
    <border>
      <left/>
      <right/>
      <top/>
      <bottom/>
      <diagonal/>
    </border>
    <border>
      <left style="medium">
        <color rgb="FFFFD700"/>
      </left>
      <right style="medium">
        <color rgb="FFFFD700"/>
      </right>
      <top style="medium">
        <color rgb="FFFFD700"/>
      </top>
      <bottom style="thin">
        <color rgb="FFFFD700"/>
      </bottom>
      <diagonal/>
    </border>
    <border>
      <left style="medium">
        <color rgb="FF1B2A4A"/>
      </left>
      <right/>
      <top style="medium">
        <color rgb="FF1B2A4A"/>
      </top>
      <bottom/>
      <diagonal/>
    </border>
    <border>
      <left style="medium">
        <color rgb="FFFFD700"/>
      </left>
      <right style="medium">
        <color rgb="FFFFD700"/>
      </right>
      <top style="thin">
        <color rgb="FFFFD700"/>
      </top>
      <bottom style="thin">
        <color rgb="FFFFD700"/>
      </bottom>
      <diagonal/>
    </border>
    <border>
      <left style="medium">
        <color rgb="FFFFD700"/>
      </left>
      <right style="medium">
        <color rgb="FFFFD700"/>
      </right>
      <top style="thin">
        <color rgb="FFFFD700"/>
      </top>
      <bottom style="medium">
        <color rgb="FFFFD700"/>
      </bottom>
      <diagonal/>
    </border>
    <border>
      <left/>
      <right/>
      <top/>
      <bottom style="thick">
        <color rgb="FFFFD700"/>
      </bottom>
      <diagonal/>
    </border>
    <border>
      <left style="thin">
        <color rgb="FFD0D7E4"/>
      </left>
      <right style="thin">
        <color rgb="FFD0D7E4"/>
      </right>
      <top style="thin">
        <color rgb="FFD0D7E4"/>
      </top>
      <bottom style="thin">
        <color rgb="FFD0D7E4"/>
      </bottom>
      <diagonal/>
    </border>
    <border>
      <left style="thin">
        <color rgb="FFD0D7E4"/>
      </left>
      <right/>
      <top style="thin">
        <color rgb="FFD0D7E4"/>
      </top>
      <bottom style="thin">
        <color rgb="FFD0D7E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 style="thin">
        <color theme="4" tint="0.39997558519241921"/>
      </left>
      <right/>
      <top style="thin">
        <color rgb="FFBFBFBF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rgb="FFD0D7E4"/>
      </top>
      <bottom style="thin">
        <color rgb="FFD0D7E4"/>
      </bottom>
      <diagonal/>
    </border>
    <border>
      <left/>
      <right/>
      <top style="thin">
        <color rgb="FFFFD700"/>
      </top>
      <bottom style="medium">
        <color rgb="FFFFD700"/>
      </bottom>
      <diagonal/>
    </border>
    <border>
      <left/>
      <right style="medium">
        <color rgb="FFFFD700"/>
      </right>
      <top style="thin">
        <color rgb="FFFFD700"/>
      </top>
      <bottom style="medium">
        <color rgb="FFFFD700"/>
      </bottom>
      <diagonal/>
    </border>
    <border>
      <left/>
      <right/>
      <top style="medium">
        <color rgb="FFFFD700"/>
      </top>
      <bottom style="thin">
        <color rgb="FFFFD700"/>
      </bottom>
      <diagonal/>
    </border>
    <border>
      <left/>
      <right style="medium">
        <color rgb="FFFFD700"/>
      </right>
      <top style="medium">
        <color rgb="FFFFD700"/>
      </top>
      <bottom style="thin">
        <color rgb="FFFFD700"/>
      </bottom>
      <diagonal/>
    </border>
    <border>
      <left/>
      <right/>
      <top style="medium">
        <color rgb="FF1B2A4A"/>
      </top>
      <bottom/>
      <diagonal/>
    </border>
    <border>
      <left style="medium">
        <color rgb="FF1B2A4A"/>
      </left>
      <right/>
      <top/>
      <bottom/>
      <diagonal/>
    </border>
    <border>
      <left/>
      <right/>
      <top style="thin">
        <color rgb="FFFFD700"/>
      </top>
      <bottom style="thin">
        <color rgb="FFFFD700"/>
      </bottom>
      <diagonal/>
    </border>
    <border>
      <left/>
      <right style="medium">
        <color rgb="FFFFD700"/>
      </right>
      <top style="thin">
        <color rgb="FFFFD700"/>
      </top>
      <bottom style="thin">
        <color rgb="FFFFD700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3">
    <xf numFmtId="0" fontId="0" fillId="0" borderId="0"/>
    <xf numFmtId="0" fontId="27" fillId="0" borderId="0"/>
    <xf numFmtId="0" fontId="15" fillId="0" borderId="0"/>
  </cellStyleXfs>
  <cellXfs count="136">
    <xf numFmtId="0" fontId="0" fillId="0" borderId="0" xfId="0"/>
    <xf numFmtId="0" fontId="3" fillId="0" borderId="0" xfId="0" applyFont="1" applyAlignment="1">
      <alignment horizontal="right" vertical="center"/>
    </xf>
    <xf numFmtId="0" fontId="10" fillId="3" borderId="6" xfId="0" applyFont="1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9" fontId="0" fillId="8" borderId="6" xfId="0" applyNumberFormat="1" applyFill="1" applyBorder="1" applyAlignment="1">
      <alignment horizontal="left" vertical="center"/>
    </xf>
    <xf numFmtId="164" fontId="0" fillId="8" borderId="6" xfId="0" applyNumberFormat="1" applyFill="1" applyBorder="1" applyAlignment="1">
      <alignment horizontal="left" vertical="center"/>
    </xf>
    <xf numFmtId="0" fontId="0" fillId="8" borderId="6" xfId="0" applyFill="1" applyBorder="1" applyAlignment="1">
      <alignment horizontal="left" vertical="center"/>
    </xf>
    <xf numFmtId="9" fontId="0" fillId="8" borderId="6" xfId="0" applyNumberForma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9" fontId="0" fillId="9" borderId="6" xfId="0" applyNumberFormat="1" applyFill="1" applyBorder="1" applyAlignment="1">
      <alignment horizontal="left" vertical="center"/>
    </xf>
    <xf numFmtId="164" fontId="0" fillId="9" borderId="6" xfId="0" applyNumberFormat="1" applyFill="1" applyBorder="1" applyAlignment="1">
      <alignment horizontal="left" vertical="center"/>
    </xf>
    <xf numFmtId="0" fontId="0" fillId="9" borderId="6" xfId="0" applyFill="1" applyBorder="1" applyAlignment="1">
      <alignment horizontal="left" vertical="center"/>
    </xf>
    <xf numFmtId="9" fontId="0" fillId="9" borderId="6" xfId="0" applyNumberForma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center" vertical="center"/>
    </xf>
    <xf numFmtId="0" fontId="5" fillId="11" borderId="6" xfId="0" applyFont="1" applyFill="1" applyBorder="1" applyAlignment="1">
      <alignment horizontal="center" vertical="center"/>
    </xf>
    <xf numFmtId="9" fontId="10" fillId="3" borderId="6" xfId="0" applyNumberFormat="1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4" fillId="13" borderId="8" xfId="0" applyFont="1" applyFill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14" borderId="8" xfId="0" applyFont="1" applyFill="1" applyBorder="1" applyAlignment="1">
      <alignment horizontal="center" vertical="center" wrapText="1"/>
    </xf>
    <xf numFmtId="9" fontId="15" fillId="0" borderId="8" xfId="0" applyNumberFormat="1" applyFont="1" applyBorder="1" applyAlignment="1">
      <alignment horizontal="center" vertical="center" wrapText="1"/>
    </xf>
    <xf numFmtId="9" fontId="15" fillId="14" borderId="8" xfId="0" applyNumberFormat="1" applyFont="1" applyFill="1" applyBorder="1" applyAlignment="1">
      <alignment horizontal="center" vertical="center" wrapText="1"/>
    </xf>
    <xf numFmtId="10" fontId="15" fillId="0" borderId="8" xfId="0" applyNumberFormat="1" applyFont="1" applyBorder="1" applyAlignment="1">
      <alignment horizontal="center" vertical="center" wrapText="1"/>
    </xf>
    <xf numFmtId="10" fontId="15" fillId="14" borderId="8" xfId="0" applyNumberFormat="1" applyFont="1" applyFill="1" applyBorder="1" applyAlignment="1">
      <alignment horizontal="center" vertical="center" wrapText="1"/>
    </xf>
    <xf numFmtId="14" fontId="15" fillId="0" borderId="8" xfId="0" applyNumberFormat="1" applyFont="1" applyBorder="1" applyAlignment="1">
      <alignment horizontal="center" vertical="center" wrapText="1"/>
    </xf>
    <xf numFmtId="14" fontId="15" fillId="14" borderId="8" xfId="0" applyNumberFormat="1" applyFont="1" applyFill="1" applyBorder="1" applyAlignment="1">
      <alignment horizontal="center" vertical="center" wrapText="1"/>
    </xf>
    <xf numFmtId="0" fontId="0" fillId="14" borderId="8" xfId="0" applyFill="1" applyBorder="1" applyAlignment="1">
      <alignment horizontal="center" vertical="center" wrapText="1"/>
    </xf>
    <xf numFmtId="9" fontId="0" fillId="14" borderId="8" xfId="0" applyNumberForma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9" fontId="0" fillId="0" borderId="8" xfId="0" applyNumberFormat="1" applyBorder="1" applyAlignment="1">
      <alignment horizontal="center" vertical="center" wrapText="1"/>
    </xf>
    <xf numFmtId="0" fontId="14" fillId="15" borderId="8" xfId="0" applyFont="1" applyFill="1" applyBorder="1" applyAlignment="1">
      <alignment horizontal="center" vertical="center" wrapText="1"/>
    </xf>
    <xf numFmtId="0" fontId="14" fillId="18" borderId="8" xfId="0" applyFont="1" applyFill="1" applyBorder="1" applyAlignment="1">
      <alignment horizontal="center" vertical="center"/>
    </xf>
    <xf numFmtId="0" fontId="18" fillId="14" borderId="8" xfId="0" applyFont="1" applyFill="1" applyBorder="1" applyAlignment="1">
      <alignment horizontal="center" vertical="center"/>
    </xf>
    <xf numFmtId="0" fontId="15" fillId="14" borderId="8" xfId="0" applyFont="1" applyFill="1" applyBorder="1" applyAlignment="1">
      <alignment horizontal="center" vertical="center"/>
    </xf>
    <xf numFmtId="0" fontId="0" fillId="14" borderId="8" xfId="0" applyFill="1" applyBorder="1" applyAlignment="1">
      <alignment horizontal="center" vertical="center"/>
    </xf>
    <xf numFmtId="9" fontId="0" fillId="14" borderId="8" xfId="0" applyNumberFormat="1" applyFill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9" fontId="0" fillId="0" borderId="8" xfId="0" applyNumberFormat="1" applyBorder="1" applyAlignment="1">
      <alignment horizontal="center" vertical="center"/>
    </xf>
    <xf numFmtId="0" fontId="14" fillId="18" borderId="0" xfId="0" applyFont="1" applyFill="1"/>
    <xf numFmtId="0" fontId="18" fillId="0" borderId="8" xfId="0" applyFont="1" applyBorder="1" applyAlignment="1">
      <alignment horizontal="left" vertical="center"/>
    </xf>
    <xf numFmtId="0" fontId="0" fillId="0" borderId="8" xfId="0" applyBorder="1" applyAlignment="1">
      <alignment horizontal="center"/>
    </xf>
    <xf numFmtId="9" fontId="0" fillId="0" borderId="8" xfId="0" applyNumberFormat="1" applyBorder="1" applyAlignment="1">
      <alignment horizontal="center"/>
    </xf>
    <xf numFmtId="9" fontId="15" fillId="0" borderId="8" xfId="0" applyNumberFormat="1" applyFont="1" applyBorder="1" applyAlignment="1">
      <alignment horizontal="center" vertical="center"/>
    </xf>
    <xf numFmtId="0" fontId="20" fillId="0" borderId="0" xfId="0" applyFont="1"/>
    <xf numFmtId="0" fontId="3" fillId="9" borderId="6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15" fillId="14" borderId="10" xfId="0" applyFont="1" applyFill="1" applyBorder="1" applyAlignment="1">
      <alignment horizontal="center" vertical="center" wrapText="1"/>
    </xf>
    <xf numFmtId="0" fontId="15" fillId="14" borderId="11" xfId="0" applyFont="1" applyFill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5" fillId="21" borderId="11" xfId="0" applyFont="1" applyFill="1" applyBorder="1" applyAlignment="1">
      <alignment horizontal="center" vertical="center" wrapText="1"/>
    </xf>
    <xf numFmtId="0" fontId="24" fillId="20" borderId="0" xfId="0" applyFont="1" applyFill="1" applyAlignment="1">
      <alignment horizontal="center" vertical="center" wrapText="1"/>
    </xf>
    <xf numFmtId="0" fontId="24" fillId="20" borderId="14" xfId="0" applyFont="1" applyFill="1" applyBorder="1" applyAlignment="1">
      <alignment horizontal="center" vertical="center" wrapText="1"/>
    </xf>
    <xf numFmtId="0" fontId="0" fillId="22" borderId="15" xfId="0" applyFill="1" applyBorder="1" applyAlignment="1">
      <alignment horizontal="center" vertical="center" wrapText="1"/>
    </xf>
    <xf numFmtId="0" fontId="0" fillId="22" borderId="16" xfId="0" applyFill="1" applyBorder="1" applyAlignment="1">
      <alignment horizontal="center" vertical="center" wrapText="1"/>
    </xf>
    <xf numFmtId="0" fontId="15" fillId="23" borderId="11" xfId="0" applyFont="1" applyFill="1" applyBorder="1" applyAlignment="1">
      <alignment horizontal="center" vertical="center" wrapText="1"/>
    </xf>
    <xf numFmtId="0" fontId="25" fillId="14" borderId="11" xfId="0" applyFont="1" applyFill="1" applyBorder="1" applyAlignment="1">
      <alignment horizontal="center" vertical="center" wrapText="1"/>
    </xf>
    <xf numFmtId="9" fontId="25" fillId="0" borderId="11" xfId="0" applyNumberFormat="1" applyFont="1" applyBorder="1" applyAlignment="1">
      <alignment horizontal="center" vertical="center" wrapText="1"/>
    </xf>
    <xf numFmtId="14" fontId="15" fillId="0" borderId="10" xfId="0" applyNumberFormat="1" applyFont="1" applyBorder="1" applyAlignment="1">
      <alignment horizontal="center" vertical="center" wrapText="1"/>
    </xf>
    <xf numFmtId="9" fontId="15" fillId="0" borderId="10" xfId="0" applyNumberFormat="1" applyFont="1" applyBorder="1" applyAlignment="1">
      <alignment horizontal="center" vertical="center" wrapText="1"/>
    </xf>
    <xf numFmtId="9" fontId="15" fillId="14" borderId="10" xfId="0" applyNumberFormat="1" applyFont="1" applyFill="1" applyBorder="1" applyAlignment="1">
      <alignment horizontal="center" vertical="center" wrapText="1"/>
    </xf>
    <xf numFmtId="10" fontId="15" fillId="14" borderId="10" xfId="0" applyNumberFormat="1" applyFont="1" applyFill="1" applyBorder="1" applyAlignment="1">
      <alignment horizontal="center" vertical="center" wrapText="1"/>
    </xf>
    <xf numFmtId="0" fontId="0" fillId="14" borderId="26" xfId="0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14" borderId="9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4" fillId="13" borderId="27" xfId="0" applyFont="1" applyFill="1" applyBorder="1" applyAlignment="1">
      <alignment horizontal="center" vertical="center" wrapText="1"/>
    </xf>
    <xf numFmtId="0" fontId="14" fillId="13" borderId="28" xfId="0" applyFont="1" applyFill="1" applyBorder="1" applyAlignment="1">
      <alignment horizontal="center" vertical="center" wrapText="1"/>
    </xf>
    <xf numFmtId="0" fontId="14" fillId="13" borderId="29" xfId="0" applyFont="1" applyFill="1" applyBorder="1" applyAlignment="1">
      <alignment horizontal="center" vertical="center" wrapText="1"/>
    </xf>
    <xf numFmtId="0" fontId="16" fillId="12" borderId="30" xfId="0" applyFont="1" applyFill="1" applyBorder="1" applyAlignment="1">
      <alignment horizontal="center" vertical="center"/>
    </xf>
    <xf numFmtId="0" fontId="0" fillId="0" borderId="30" xfId="0" applyBorder="1"/>
    <xf numFmtId="0" fontId="16" fillId="12" borderId="10" xfId="0" applyFont="1" applyFill="1" applyBorder="1" applyAlignment="1">
      <alignment horizontal="center" vertical="center"/>
    </xf>
    <xf numFmtId="9" fontId="16" fillId="12" borderId="10" xfId="0" applyNumberFormat="1" applyFont="1" applyFill="1" applyBorder="1" applyAlignment="1">
      <alignment horizontal="center" vertical="center"/>
    </xf>
    <xf numFmtId="0" fontId="16" fillId="12" borderId="11" xfId="0" applyFont="1" applyFill="1" applyBorder="1" applyAlignment="1">
      <alignment horizontal="center" vertical="center"/>
    </xf>
    <xf numFmtId="0" fontId="15" fillId="16" borderId="28" xfId="0" applyFont="1" applyFill="1" applyBorder="1" applyAlignment="1">
      <alignment horizontal="center" vertical="center" wrapText="1"/>
    </xf>
    <xf numFmtId="14" fontId="15" fillId="16" borderId="28" xfId="0" applyNumberFormat="1" applyFont="1" applyFill="1" applyBorder="1" applyAlignment="1">
      <alignment horizontal="center" vertical="center" wrapText="1"/>
    </xf>
    <xf numFmtId="0" fontId="15" fillId="14" borderId="31" xfId="0" applyFont="1" applyFill="1" applyBorder="1" applyAlignment="1">
      <alignment horizontal="center" vertical="center" wrapText="1"/>
    </xf>
    <xf numFmtId="164" fontId="15" fillId="0" borderId="8" xfId="0" applyNumberFormat="1" applyFont="1" applyBorder="1" applyAlignment="1">
      <alignment horizontal="center" vertical="center" wrapText="1"/>
    </xf>
    <xf numFmtId="0" fontId="27" fillId="22" borderId="16" xfId="0" applyFont="1" applyFill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0" fontId="28" fillId="0" borderId="0" xfId="0" applyFont="1"/>
    <xf numFmtId="0" fontId="25" fillId="14" borderId="8" xfId="0" applyFont="1" applyFill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5" fillId="23" borderId="31" xfId="0" applyFont="1" applyFill="1" applyBorder="1" applyAlignment="1">
      <alignment horizontal="center" vertical="center" wrapText="1"/>
    </xf>
    <xf numFmtId="0" fontId="25" fillId="14" borderId="31" xfId="0" applyFont="1" applyFill="1" applyBorder="1" applyAlignment="1">
      <alignment horizontal="center" vertical="center" wrapText="1"/>
    </xf>
    <xf numFmtId="9" fontId="25" fillId="0" borderId="31" xfId="0" applyNumberFormat="1" applyFont="1" applyBorder="1" applyAlignment="1">
      <alignment horizontal="center" vertical="center" wrapText="1"/>
    </xf>
    <xf numFmtId="0" fontId="15" fillId="14" borderId="32" xfId="0" applyFont="1" applyFill="1" applyBorder="1" applyAlignment="1">
      <alignment horizontal="center" vertical="center" wrapText="1"/>
    </xf>
    <xf numFmtId="0" fontId="29" fillId="23" borderId="11" xfId="0" applyFont="1" applyFill="1" applyBorder="1" applyAlignment="1">
      <alignment horizontal="center" vertical="center" wrapText="1"/>
    </xf>
    <xf numFmtId="0" fontId="29" fillId="14" borderId="11" xfId="0" applyFont="1" applyFill="1" applyBorder="1" applyAlignment="1">
      <alignment horizontal="center" vertical="center" wrapText="1"/>
    </xf>
    <xf numFmtId="0" fontId="13" fillId="12" borderId="0" xfId="0" applyFont="1" applyFill="1" applyAlignment="1">
      <alignment horizontal="center" vertical="center"/>
    </xf>
    <xf numFmtId="0" fontId="0" fillId="0" borderId="0" xfId="0"/>
    <xf numFmtId="0" fontId="9" fillId="2" borderId="5" xfId="0" applyFont="1" applyFill="1" applyBorder="1" applyAlignment="1">
      <alignment horizontal="center" vertical="center"/>
    </xf>
    <xf numFmtId="0" fontId="0" fillId="0" borderId="5" xfId="0" applyBorder="1"/>
    <xf numFmtId="0" fontId="3" fillId="0" borderId="7" xfId="0" applyFont="1" applyBorder="1" applyAlignment="1">
      <alignment horizontal="right" vertical="center"/>
    </xf>
    <xf numFmtId="0" fontId="0" fillId="0" borderId="17" xfId="0" applyBorder="1"/>
    <xf numFmtId="0" fontId="5" fillId="6" borderId="1" xfId="0" applyFont="1" applyFill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0" fontId="11" fillId="0" borderId="7" xfId="0" applyFont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0" fillId="0" borderId="18" xfId="0" applyBorder="1"/>
    <xf numFmtId="0" fontId="0" fillId="0" borderId="19" xfId="0" applyBorder="1"/>
    <xf numFmtId="0" fontId="8" fillId="6" borderId="4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0" fontId="4" fillId="0" borderId="0" xfId="0" applyFont="1" applyAlignment="1">
      <alignment horizontal="left" vertical="center"/>
    </xf>
    <xf numFmtId="164" fontId="7" fillId="3" borderId="3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0" fillId="4" borderId="0" xfId="0" applyFill="1"/>
    <xf numFmtId="0" fontId="5" fillId="2" borderId="1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1" fontId="7" fillId="2" borderId="3" xfId="0" applyNumberFormat="1" applyFont="1" applyFill="1" applyBorder="1" applyAlignment="1">
      <alignment horizontal="center" vertical="center"/>
    </xf>
    <xf numFmtId="1" fontId="7" fillId="5" borderId="3" xfId="0" applyNumberFormat="1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 wrapText="1"/>
    </xf>
    <xf numFmtId="0" fontId="0" fillId="0" borderId="22" xfId="0" applyBorder="1"/>
    <xf numFmtId="0" fontId="0" fillId="0" borderId="23" xfId="0" applyBorder="1"/>
    <xf numFmtId="0" fontId="13" fillId="15" borderId="0" xfId="0" applyFont="1" applyFill="1" applyAlignment="1">
      <alignment horizontal="center" vertical="center"/>
    </xf>
    <xf numFmtId="0" fontId="17" fillId="17" borderId="0" xfId="0" applyFont="1" applyFill="1" applyAlignment="1">
      <alignment horizontal="center" vertical="center"/>
    </xf>
    <xf numFmtId="0" fontId="23" fillId="19" borderId="0" xfId="0" applyFont="1" applyFill="1" applyAlignment="1">
      <alignment horizontal="left" vertical="center"/>
    </xf>
    <xf numFmtId="0" fontId="22" fillId="2" borderId="0" xfId="0" applyFont="1" applyFill="1" applyAlignment="1">
      <alignment horizontal="left" vertical="center"/>
    </xf>
    <xf numFmtId="0" fontId="11" fillId="0" borderId="0" xfId="0" applyFont="1"/>
    <xf numFmtId="0" fontId="6" fillId="3" borderId="0" xfId="0" applyFont="1" applyFill="1" applyAlignment="1">
      <alignment horizontal="left" vertical="center"/>
    </xf>
    <xf numFmtId="0" fontId="21" fillId="0" borderId="0" xfId="0" applyFont="1"/>
    <xf numFmtId="0" fontId="19" fillId="2" borderId="0" xfId="0" applyFont="1" applyFill="1" applyAlignment="1">
      <alignment horizontal="center" vertical="center"/>
    </xf>
  </cellXfs>
  <cellStyles count="3">
    <cellStyle name="Normal" xfId="0" builtinId="0"/>
    <cellStyle name="Normal 2" xfId="2" xr:uid="{C36D0E7F-30FF-44B1-91F1-B00C39DC9D30}"/>
    <cellStyle name="Normal 3" xfId="1" xr:uid="{98C2AA91-5002-436C-9A72-C8CF877E3061}"/>
  </cellStyles>
  <dxfs count="53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2F4F7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/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2F4F7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/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2F4F7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/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5" formatCode="dd/mm/yyyy"/>
      <fill>
        <patternFill patternType="solid">
          <fgColor rgb="FFF2F4F7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/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2F4F7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/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2F4F7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/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2F4F7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/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2F4F7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/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2F4F7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/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5" formatCode="dd/mm/yyyy"/>
      <fill>
        <patternFill patternType="solid">
          <fgColor rgb="FFF2F4F7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/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2F4F7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/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2F4F7"/>
          <bgColor rgb="FFFFF2CC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2F4F7"/>
          <bgColor rgb="FFFFF2CC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4A6FA5"/>
          <bgColor rgb="FF2E75B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0F4FF"/>
          <bgColor rgb="FFEBF3FB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/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0F4FF"/>
          <bgColor rgb="FFEBF3FB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0F4FF"/>
          <bgColor rgb="FFEBF3FB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0F4FF"/>
          <bgColor rgb="FFEBF3FB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0F4FF"/>
          <bgColor rgb="FFEBF3FB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/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0F4FF"/>
          <bgColor rgb="FFEBF3FB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0F4FF"/>
          <bgColor rgb="FFEBF3FB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/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0F4FF"/>
          <bgColor rgb="FFEBF3FB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0F4FF"/>
          <bgColor rgb="FFEBF3FB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/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0F4FF"/>
          <bgColor rgb="FFEBF3FB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0F4FF"/>
          <bgColor rgb="FFEBF3FB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/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0F4FF"/>
          <bgColor rgb="FFEBF3FB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0F4FF"/>
          <bgColor rgb="FFEBF3FB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/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0F4FF"/>
          <bgColor rgb="FFEBF3FB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"/>
        <scheme val="none"/>
      </font>
      <numFmt numFmtId="13" formatCode="0%"/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/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"/>
        <scheme val="none"/>
      </font>
      <numFmt numFmtId="13" formatCode="0%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"/>
        <scheme val="none"/>
      </font>
      <fill>
        <patternFill patternType="solid">
          <fgColor rgb="FFF0F4FF"/>
          <bgColor rgb="FFEBF3FB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/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"/>
        <scheme val="none"/>
      </font>
      <fill>
        <patternFill patternType="solid">
          <fgColor rgb="FFF0F4FF"/>
          <bgColor rgb="FFEBF3FB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0F4FF"/>
          <bgColor rgb="FFEBF3FB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/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0F4FF"/>
          <bgColor rgb="FFEBF3FB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0F4FF"/>
          <bgColor rgb="FFEBF3FB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/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0F4FF"/>
          <bgColor rgb="FFEBF3FB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D9D9D9"/>
          <bgColor theme="4" tint="0.7998901333658864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/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D9D9D9"/>
          <bgColor theme="4" tint="0.79989013336588644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D9D9D9"/>
          <bgColor theme="4" tint="0.7998901333658864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/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D9D9D9"/>
          <bgColor theme="4" tint="0.79989013336588644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D9D9D9"/>
          <bgColor theme="4" tint="0.7998901333658864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/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D9D9D9"/>
          <bgColor theme="4" tint="0.79989013336588644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D9D9D9"/>
          <bgColor theme="4" tint="0.7998901333658864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/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D9D9D9"/>
          <bgColor theme="4" tint="0.79989013336588644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0F4FF"/>
          <bgColor rgb="FFEBF3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B0000"/>
      <rgbColor rgb="FF1B5E20"/>
      <rgbColor rgb="FF000080"/>
      <rgbColor rgb="FF777777"/>
      <rgbColor rgb="FF800080"/>
      <rgbColor rgb="FF00695C"/>
      <rgbColor rgb="FFBFBFBF"/>
      <rgbColor rgb="FF878787"/>
      <rgbColor rgb="FF9999FF"/>
      <rgbColor rgb="FFE53935"/>
      <rgbColor rgb="FFFFF2CC"/>
      <rgbColor rgb="FFEBF3FB"/>
      <rgbColor rgb="FF4A148C"/>
      <rgbColor rgb="FFFF8080"/>
      <rgbColor rgb="FF1565C0"/>
      <rgbColor rgb="FFD0D7E4"/>
      <rgbColor rgb="FF000080"/>
      <rgbColor rgb="FFFF00FF"/>
      <rgbColor rgb="FFFFFF00"/>
      <rgbColor rgb="FF00FFFF"/>
      <rgbColor rgb="FF800080"/>
      <rgbColor rgb="FF800000"/>
      <rgbColor rgb="FF37474F"/>
      <rgbColor rgb="FF0000FF"/>
      <rgbColor rgb="FF00CCFF"/>
      <rgbColor rgb="FFF0F4FF"/>
      <rgbColor rgb="FFF2F4F7"/>
      <rgbColor rgb="FFF9F9F9"/>
      <rgbColor rgb="FFB0C4DE"/>
      <rgbColor rgb="FFFF99CC"/>
      <rgbColor rgb="FFCC99FF"/>
      <rgbColor rgb="FFD9D9D9"/>
      <rgbColor rgb="FF2E75B6"/>
      <rgbColor rgb="FF1DB954"/>
      <rgbColor rgb="FF90EE90"/>
      <rgbColor rgb="FFFFD700"/>
      <rgbColor rgb="FFF5A623"/>
      <rgbColor rgb="FFE65100"/>
      <rgbColor rgb="FF4A6FA5"/>
      <rgbColor rgb="FFB3B3B3"/>
      <rgbColor rgb="FF003366"/>
      <rgbColor rgb="FF2E7D32"/>
      <rgbColor rgb="FF1F3864"/>
      <rgbColor rgb="FF1B2A4A"/>
      <rgbColor rgb="FFB71C1C"/>
      <rgbColor rgb="FF595959"/>
      <rgbColor rgb="FF4527A0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/>
          <a:lstStyle/>
          <a:p>
            <a:pPr>
              <a:defRPr lang="es-MX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MX" sz="1800" b="1" strike="noStrike" spc="-1">
                <a:solidFill>
                  <a:srgbClr val="000000"/>
                </a:solidFill>
                <a:latin typeface="Calibri"/>
              </a:rPr>
              <a:t>QA vs QC — % Avance por Proyecto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DASHBOARD_PRO!$B$28</c:f>
              <c:strCache>
                <c:ptCount val="1"/>
                <c:pt idx="0">
                  <c:v>QC %</c:v>
                </c:pt>
              </c:strCache>
            </c:strRef>
          </c:tx>
          <c:spPr>
            <a:solidFill>
              <a:srgbClr val="4A6FA5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DASHBOARD_PRO!$A$29:$A$31</c:f>
              <c:strCache>
                <c:ptCount val="3"/>
                <c:pt idx="0">
                  <c:v>AZUFRE II</c:v>
                </c:pt>
                <c:pt idx="1">
                  <c:v>NUEVOLABORATORIO</c:v>
                </c:pt>
                <c:pt idx="2">
                  <c:v>LBCC 10PPM</c:v>
                </c:pt>
              </c:strCache>
            </c:strRef>
          </c:cat>
          <c:val>
            <c:numRef>
              <c:f>DASHBOARD_PRO!$B$29:$B$31</c:f>
              <c:numCache>
                <c:formatCode>0%</c:formatCode>
                <c:ptCount val="3"/>
                <c:pt idx="0">
                  <c:v>1</c:v>
                </c:pt>
                <c:pt idx="1">
                  <c:v>0</c:v>
                </c:pt>
                <c:pt idx="2">
                  <c:v>3.0263157894736843E-2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0F-4334-BF26-5FD2734FB1B9}"/>
            </c:ext>
          </c:extLst>
        </c:ser>
        <c:ser>
          <c:idx val="1"/>
          <c:order val="1"/>
          <c:tx>
            <c:strRef>
              <c:f>DASHBOARD_PRO!$C$28</c:f>
              <c:strCache>
                <c:ptCount val="1"/>
                <c:pt idx="0">
                  <c:v>QA %</c:v>
                </c:pt>
              </c:strCache>
            </c:strRef>
          </c:tx>
          <c:spPr>
            <a:solidFill>
              <a:srgbClr val="1DB954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DASHBOARD_PRO!$A$29:$A$31</c:f>
              <c:strCache>
                <c:ptCount val="3"/>
                <c:pt idx="0">
                  <c:v>AZUFRE II</c:v>
                </c:pt>
                <c:pt idx="1">
                  <c:v>NUEVOLABORATORIO</c:v>
                </c:pt>
                <c:pt idx="2">
                  <c:v>LBCC 10PPM</c:v>
                </c:pt>
              </c:strCache>
            </c:strRef>
          </c:cat>
          <c:val>
            <c:numRef>
              <c:f>DASHBOARD_PRO!$C$29:$C$31</c:f>
              <c:numCache>
                <c:formatCode>0%</c:formatCode>
                <c:ptCount val="3"/>
                <c:pt idx="0">
                  <c:v>1</c:v>
                </c:pt>
                <c:pt idx="1">
                  <c:v>0</c:v>
                </c:pt>
                <c:pt idx="2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0F-4334-BF26-5FD2734FB1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07935"/>
        <c:axId val="83360328"/>
      </c:barChart>
      <c:catAx>
        <c:axId val="48607935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lang="es-MX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MX" sz="1000" b="1" strike="noStrike" spc="-1">
                    <a:solidFill>
                      <a:srgbClr val="000000"/>
                    </a:solidFill>
                    <a:latin typeface="Calibri"/>
                  </a:rPr>
                  <a:t>% Avance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83360328"/>
        <c:crosses val="autoZero"/>
        <c:auto val="1"/>
        <c:lblAlgn val="ctr"/>
        <c:lblOffset val="100"/>
        <c:noMultiLvlLbl val="0"/>
      </c:catAx>
      <c:valAx>
        <c:axId val="833603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s-MX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MX" sz="1000" b="1" strike="noStrike" spc="-1">
                    <a:solidFill>
                      <a:srgbClr val="000000"/>
                    </a:solidFill>
                    <a:latin typeface="Calibri"/>
                  </a:rPr>
                  <a:t>Proyectos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48607935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/>
          <a:lstStyle/>
          <a:p>
            <a:pPr>
              <a:defRPr lang="es-MX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MX" sz="1800" b="1" strike="noStrike" spc="-1">
                <a:solidFill>
                  <a:srgbClr val="000000"/>
                </a:solidFill>
                <a:latin typeface="Calibri"/>
              </a:rPr>
              <a:t>Desempeño Semanal: Programado vs Ejecutado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DASHBOARD_PRO!$G$28</c:f>
              <c:strCache>
                <c:ptCount val="1"/>
                <c:pt idx="0">
                  <c:v>PROGRAMADO</c:v>
                </c:pt>
              </c:strCache>
            </c:strRef>
          </c:tx>
          <c:spPr>
            <a:solidFill>
              <a:srgbClr val="B0C4DE"/>
            </a:solidFill>
            <a:ln w="9360">
              <a:solidFill>
                <a:srgbClr val="4A6FA5"/>
              </a:solidFill>
              <a:prstDash val="solid"/>
              <a:round/>
            </a:ln>
          </c:spP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DASHBOARD_PRO!$F$29:$F$34</c:f>
              <c:strCache>
                <c:ptCount val="6"/>
                <c:pt idx="0">
                  <c:v>S21</c:v>
                </c:pt>
                <c:pt idx="1">
                  <c:v>S22</c:v>
                </c:pt>
                <c:pt idx="2">
                  <c:v>S23</c:v>
                </c:pt>
                <c:pt idx="3">
                  <c:v>S24</c:v>
                </c:pt>
                <c:pt idx="4">
                  <c:v>S25</c:v>
                </c:pt>
                <c:pt idx="5">
                  <c:v>S26</c:v>
                </c:pt>
              </c:strCache>
            </c:strRef>
          </c:cat>
          <c:val>
            <c:numRef>
              <c:f>DASHBOARD_PRO!$G$29:$G$34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32-41FB-9AA5-5778755F614C}"/>
            </c:ext>
          </c:extLst>
        </c:ser>
        <c:ser>
          <c:idx val="1"/>
          <c:order val="1"/>
          <c:tx>
            <c:strRef>
              <c:f>DASHBOARD_PRO!$H$28</c:f>
              <c:strCache>
                <c:ptCount val="1"/>
                <c:pt idx="0">
                  <c:v>EJECUTADO</c:v>
                </c:pt>
              </c:strCache>
            </c:strRef>
          </c:tx>
          <c:spPr>
            <a:solidFill>
              <a:srgbClr val="90EE90"/>
            </a:solidFill>
            <a:ln w="28080">
              <a:solidFill>
                <a:srgbClr val="1DB954"/>
              </a:solidFill>
              <a:prstDash val="solid"/>
              <a:round/>
            </a:ln>
          </c:spP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DASHBOARD_PRO!$F$29:$F$34</c:f>
              <c:strCache>
                <c:ptCount val="6"/>
                <c:pt idx="0">
                  <c:v>S21</c:v>
                </c:pt>
                <c:pt idx="1">
                  <c:v>S22</c:v>
                </c:pt>
                <c:pt idx="2">
                  <c:v>S23</c:v>
                </c:pt>
                <c:pt idx="3">
                  <c:v>S24</c:v>
                </c:pt>
                <c:pt idx="4">
                  <c:v>S25</c:v>
                </c:pt>
                <c:pt idx="5">
                  <c:v>S26</c:v>
                </c:pt>
              </c:strCache>
            </c:strRef>
          </c:cat>
          <c:val>
            <c:numRef>
              <c:f>DASHBOARD_PRO!$H$29:$H$34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32-41FB-9AA5-5778755F61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37</xdr:row>
      <xdr:rowOff>7056</xdr:rowOff>
    </xdr:from>
    <xdr:to>
      <xdr:col>6</xdr:col>
      <xdr:colOff>847747</xdr:colOff>
      <xdr:row>59</xdr:row>
      <xdr:rowOff>135576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536223</xdr:colOff>
      <xdr:row>37</xdr:row>
      <xdr:rowOff>42334</xdr:rowOff>
    </xdr:from>
    <xdr:to>
      <xdr:col>15</xdr:col>
      <xdr:colOff>264537</xdr:colOff>
      <xdr:row>59</xdr:row>
      <xdr:rowOff>170854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611275B-3181-475A-B6BD-A60E21F158AE}" name="MASTER_ACTIVIDADES" displayName="MASTER_ACTIVIDADES" ref="A2:O76" totalsRowShown="0" headerRowDxfId="52" dataDxfId="51">
  <autoFilter ref="A2:O76" xr:uid="{4611275B-3181-475A-B6BD-A60E21F158AE}">
    <filterColumn colId="5">
      <filters>
        <filter val="ECD17011_NUEVOLABORATORIO GRB"/>
      </filters>
    </filterColumn>
  </autoFilter>
  <tableColumns count="15">
    <tableColumn id="1" xr3:uid="{E348043A-3414-4989-A9D9-4FB83642606B}" name="ID" dataDxfId="50" totalsRowDxfId="49"/>
    <tableColumn id="2" xr3:uid="{FEE72BDB-6010-4418-B026-B04C1B965C8C}" name="TIPO" dataDxfId="48" totalsRowDxfId="47"/>
    <tableColumn id="3" xr3:uid="{CE460338-95B0-4BAA-B81B-2712965891D6}" name="ACTIVIDAD" dataDxfId="46" totalsRowDxfId="45"/>
    <tableColumn id="4" xr3:uid="{D68ECD80-E987-415A-9A42-720FD88BE24F}" name="SUBACTIVIDAD" dataDxfId="44" totalsRowDxfId="43"/>
    <tableColumn id="5" xr3:uid="{682B0A67-B1E3-460F-8F24-0B48817AF12D}" name="ESPECIALIDAD" dataDxfId="42" totalsRowDxfId="41"/>
    <tableColumn id="6" xr3:uid="{4A665B22-9CFC-434B-9101-01E9D8A6DE0C}" name="PROYECTO" dataDxfId="40" totalsRowDxfId="39"/>
    <tableColumn id="7" xr3:uid="{17E8DB9B-4171-4DCF-8A09-AFE916939B2A}" name="ODS" dataDxfId="38" totalsRowDxfId="37"/>
    <tableColumn id="8" xr3:uid="{8B1BFA8D-7E43-49E8-9F2B-5D6C8A187F8C}" name="PESO (%)" dataDxfId="36" totalsRowDxfId="35"/>
    <tableColumn id="9" xr3:uid="{7FB25170-CA2B-4A5F-8769-1DDCF1EADA92}" name="CANTIDAD TOTAL" dataDxfId="34" totalsRowDxfId="33"/>
    <tableColumn id="10" xr3:uid="{F8231342-7B31-4BEA-B1BB-642D15CC60BE}" name="RESPONSABLE" dataDxfId="32" totalsRowDxfId="31"/>
    <tableColumn id="11" xr3:uid="{A30D8A5C-6887-49CF-BC08-F15196BBB4CB}" name="NORMA" dataDxfId="30" totalsRowDxfId="29"/>
    <tableColumn id="12" xr3:uid="{2D2A2C1E-9B65-46F4-A781-CF15F9913F9D}" name="COMENTARIOS" dataDxfId="28" totalsRowDxfId="27"/>
    <tableColumn id="13" xr3:uid="{8E48BDC2-7106-4D4F-90C6-B63EC89E9304}" name="APLICA" dataDxfId="26" totalsRowDxfId="25"/>
    <tableColumn id="14" xr3:uid="{2D749A97-E0C2-4777-963C-355B4D7AF7E6}" name="ESTADO" dataDxfId="24" totalsRowDxfId="23"/>
    <tableColumn id="15" xr3:uid="{D67D15CA-205B-4507-A029-41600D1807D2}" name="Comentarios2" dataDxfId="22" totalsRowDxfId="2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C_DETALLE" displayName="QC_DETALLE" ref="A2:K667" totalsRowShown="0">
  <autoFilter ref="A2:K667" xr:uid="{00000000-0009-0000-0100-000001000000}">
    <filterColumn colId="1">
      <filters blank="1">
        <filter val="ECD20005_LINEA BASE CALIDAD DE COMBUSTIBLE 10 PPM"/>
      </filters>
    </filterColumn>
  </autoFilter>
  <tableColumns count="11">
    <tableColumn id="1" xr3:uid="{00000000-0010-0000-0000-000001000000}" name="ID"/>
    <tableColumn id="2" xr3:uid="{00000000-0010-0000-0000-000002000000}" name="PROYECTO"/>
    <tableColumn id="3" xr3:uid="{00000000-0010-0000-0000-000003000000}" name="ESPECIALIDAD"/>
    <tableColumn id="4" xr3:uid="{00000000-0010-0000-0000-000004000000}" name="ELEMENTO"/>
    <tableColumn id="5" xr3:uid="{00000000-0010-0000-0000-000005000000}" name="ACTIVIDAD QC"/>
    <tableColumn id="6" xr3:uid="{00000000-0010-0000-0000-000006000000}" name="TAG"/>
    <tableColumn id="7" xr3:uid="{00000000-0010-0000-0000-000007000000}" name="TIPO ENSAYO"/>
    <tableColumn id="8" xr3:uid="{00000000-0010-0000-0000-000008000000}" name="PROGRAMADO"/>
    <tableColumn id="9" xr3:uid="{00000000-0010-0000-0000-000009000000}" name="EJECUTADO"/>
    <tableColumn id="10" xr3:uid="{00000000-0010-0000-0000-00000A000000}" name="% AVANCE"/>
    <tableColumn id="11" xr3:uid="{00000000-0010-0000-0000-00000B000000}" name="PENDIENTE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VANCE" displayName="AVANCE" ref="A2:J25" totalsRowShown="0">
  <autoFilter ref="A2:J25" xr:uid="{00000000-0009-0000-0100-000002000000}"/>
  <tableColumns count="10">
    <tableColumn id="1" xr3:uid="{00000000-0010-0000-0100-000001000000}" name="ID"/>
    <tableColumn id="2" xr3:uid="{00000000-0010-0000-0100-000002000000}" name="PROYECTO"/>
    <tableColumn id="3" xr3:uid="{00000000-0010-0000-0100-000003000000}" name="TIPO"/>
    <tableColumn id="4" xr3:uid="{00000000-0010-0000-0100-000004000000}" name="CANTIDAD TOTAL (MASTER)" dataDxfId="0">
      <calculatedColumnFormula array="1">IFERROR(IF(C3="QC",SUMPRODUCT((LEFT(QC_DETALLE!A$3:A$1000,LEN(A3))=A3)*(QC_DETALLE!B$3:B$1000=B3)*QC_DETALLE!H$3:H$1000),SUMPRODUCT((MASTER_ACTIVIDADES!A$3:A$198=A3)*(MASTER_ACTIVIDADES!F$3:F$198=B3)*(UPPER(MASTER_ACTIVIDADES!M$3:M$198)="SI")*MASTER_ACTIVIDADES!I$3:I$198)),0)</calculatedColumnFormula>
    </tableColumn>
    <tableColumn id="5" xr3:uid="{00000000-0010-0000-0100-000005000000}" name="EJECUTADO TOTAL (QC)">
      <calculatedColumnFormula array="1">IFERROR(IF(OR(C3="QC",C3="QA"),
SUMPRODUCT((LEFT(QC_DETALLE!A$3:A$223,LEN(A3))=A3)*(QC_DETALLE!B$3:B$223=B3)*QC_DETALLE!I$3:I$223),
SUMPRODUCT((MASTER_ACTIVIDADES!A$3:A$198=A3)*(MASTER_ACTIVIDADES!F$3:F$198=B3)*(UPPER(MASTER_ACTIVIDADES!M$3:M$198)="SI")*(MASTER_ACTIVIDADES!N$3:N$198="Completo")*MASTER_ACTIVIDADES!I$3:I$198)),
0)</calculatedColumnFormula>
    </tableColumn>
    <tableColumn id="6" xr3:uid="{00000000-0010-0000-0100-000006000000}" name="% AVANCE"/>
    <tableColumn id="7" xr3:uid="{00000000-0010-0000-0100-000007000000}" name="PESO (%)"/>
    <tableColumn id="8" xr3:uid="{00000000-0010-0000-0100-000008000000}" name="AVANCE PONDERADO"/>
    <tableColumn id="9" xr3:uid="{00000000-0010-0000-0100-000009000000}" name="PENDIENTE"/>
    <tableColumn id="10" xr3:uid="{00000000-0010-0000-0100-00000A000000}" name="ESTADO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LAN_SEMANAL" displayName="PLAN_SEMANAL" ref="A2:I11" totalsRowShown="0">
  <autoFilter ref="A2:I11" xr:uid="{00000000-0009-0000-0100-000003000000}"/>
  <tableColumns count="9">
    <tableColumn id="1" xr3:uid="{00000000-0010-0000-0200-000001000000}" name="ID"/>
    <tableColumn id="2" xr3:uid="{00000000-0010-0000-0200-000002000000}" name="FECHA"/>
    <tableColumn id="3" xr3:uid="{00000000-0010-0000-0200-000003000000}" name="SEMANA">
      <calculatedColumnFormula>"S"&amp;WEEKNUM(PLAN_SEMANAL[[#This Row],[FECHA]])</calculatedColumnFormula>
    </tableColumn>
    <tableColumn id="4" xr3:uid="{00000000-0010-0000-0200-000004000000}" name="PROYECTO"/>
    <tableColumn id="5" xr3:uid="{00000000-0010-0000-0200-000005000000}" name="CANT. PROGRAMADA"/>
    <tableColumn id="6" xr3:uid="{00000000-0010-0000-0200-000006000000}" name="CANT. EJECUTADA"/>
    <tableColumn id="7" xr3:uid="{00000000-0010-0000-0200-000007000000}" name="DESVIACION"/>
    <tableColumn id="8" xr3:uid="{00000000-0010-0000-0200-000008000000}" name="% CUMPLIM."/>
    <tableColumn id="9" xr3:uid="{00000000-0010-0000-0200-000009000000}" name="ESTADO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ERTIFICADOS" displayName="CERTIFICADOS" ref="A2:L28" totalsRowShown="0">
  <autoFilter ref="A2:L28" xr:uid="{00000000-0009-0000-0100-000004000000}"/>
  <tableColumns count="12">
    <tableColumn id="1" xr3:uid="{00000000-0010-0000-0300-000001000000}" name="ID"/>
    <tableColumn id="2" xr3:uid="{00000000-0010-0000-0300-000002000000}" name="PROYECTO"/>
    <tableColumn id="3" xr3:uid="{00000000-0010-0000-0300-000003000000}" name="TIPO CERTIFICADO"/>
    <tableColumn id="4" xr3:uid="{00000000-0010-0000-0300-000004000000}" name="EQUIPO/MATERIAL"/>
    <tableColumn id="5" xr3:uid="{00000000-0010-0000-0300-000005000000}" name="ESPECIALIDAD"/>
    <tableColumn id="6" xr3:uid="{00000000-0010-0000-0300-000006000000}" name="PROGRAMADO"/>
    <tableColumn id="7" xr3:uid="{00000000-0010-0000-0300-000007000000}" name="ENTREGADO"/>
    <tableColumn id="8" xr3:uid="{00000000-0010-0000-0300-000008000000}" name="% AVANCE"/>
    <tableColumn id="9" xr3:uid="{00000000-0010-0000-0300-000009000000}" name="PESO"/>
    <tableColumn id="10" xr3:uid="{00000000-0010-0000-0300-00000A000000}" name="AVANCE PONDERADO"/>
    <tableColumn id="11" xr3:uid="{00000000-0010-0000-0300-00000B000000}" name="ESTADO"/>
    <tableColumn id="12" xr3:uid="{3CA838FC-8583-4837-83A7-5FD78681ADB4}" name="CONTRATISTA" dataDxfId="20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9A6F3BE-E70A-435A-80E5-A5F6D79F5BCA}" name="Tabla6" displayName="Tabla6" ref="A2:I13" totalsRowShown="0" headerRowDxfId="19" headerRowBorderDxfId="18" tableBorderDxfId="17" totalsRowBorderDxfId="16">
  <autoFilter ref="A2:I13" xr:uid="{59A6F3BE-E70A-435A-80E5-A5F6D79F5BCA}"/>
  <tableColumns count="9">
    <tableColumn id="1" xr3:uid="{F851CE7B-43F8-4076-9590-19AC75257C1D}" name="PROYECTO CORTO"/>
    <tableColumn id="2" xr3:uid="{D1624743-F0B7-40DD-B895-B67C41691B68}" name="PROYECTO LARGO"/>
    <tableColumn id="3" xr3:uid="{03118788-769D-40C5-BBE0-FCF96912DD2A}" name="TOTAL ITEMS (APLICA=SI)"/>
    <tableColumn id="4" xr3:uid="{25797CF0-4364-47F6-88D7-6BECF8973F0B}" name="COMPLETOS"/>
    <tableColumn id="5" xr3:uid="{8B5E8C69-60B4-45ED-9412-FFA3383A11AF}" name="PENDIENTES"/>
    <tableColumn id="6" xr3:uid="{76B67181-3D46-4C7E-A513-099A4300E243}" name="% AVANCE TOTAL"/>
    <tableColumn id="7" xr3:uid="{4EC33668-29EA-4494-BEB4-00DC6D2D8833}" name="% AVANCE QA"/>
    <tableColumn id="8" xr3:uid="{78CFF7F7-C78A-4F26-9792-815B0BCBBA5F}" name="% AVANCE QC"/>
    <tableColumn id="9" xr3:uid="{BD1E6718-8772-4342-A0D5-A7EBF9D00E6A}" name="ESTADO GENERAL">
      <calculatedColumnFormula>IF(F3&gt;=0.9,"✅ Verde",IF(F3&gt;=0.7,"⚠️ Amarillo","🔴 Crítico"))</calculatedColumnFormula>
    </tableColumn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8321708-8B04-4A62-8F90-3B1A9FB040B6}" name="REGISTRO_NC" displayName="REGISTRO_NC" ref="A3:K4" insertRowShift="1" totalsRowShown="0" headerRowDxfId="15" dataDxfId="13" headerRowBorderDxfId="14" tableBorderDxfId="12">
  <tableColumns count="11">
    <tableColumn id="1" xr3:uid="{5F8E3AA7-7AE0-4102-AD76-2895BCE732AE}" name="NCR-008" dataDxfId="11"/>
    <tableColumn id="2" xr3:uid="{15C1BD71-2914-4865-9039-18F559D465D8}" name="20/05/2025" dataDxfId="10"/>
    <tableColumn id="3" xr3:uid="{2DFF6E7E-B96C-4B9A-B38E-894000DBACCB}" name="ECD17011_NUEVOLABORATORIO GRB" dataDxfId="9"/>
    <tableColumn id="4" xr3:uid="{9756E5B7-D9DD-4337-8F19-74BB0565F503}" name="Eléctrica" dataDxfId="8"/>
    <tableColumn id="5" xr3:uid="{55CF4541-58C0-4F60-8395-3845AA65C8CC}" name="Oxidación severa en perfiles soporte de bandejas portacables en área B-2880, tramo entre B-03 y B-07" dataDxfId="7"/>
    <tableColumn id="6" xr3:uid="{BBD427E9-556C-4B6F-B589-074790446BD7}" name="No se puede evidenciar la calidad del los perfiles, el contratista no presenta certificado de calidad avalados por la ONAC" dataDxfId="6"/>
    <tableColumn id="7" xr3:uid="{6BDE6494-93F1-43F0-A747-BEB60A9BA53B}" name="Lenar Parra" dataDxfId="5"/>
    <tableColumn id="8" xr3:uid="{FB0041DA-6D2B-4244-8215-604485C359DD}" name="06/06/2025" dataDxfId="4"/>
    <tableColumn id="9" xr3:uid="{D14CC0B1-E401-4CF1-8A44-900E35541163}" name="🔴 Abierta" dataDxfId="3"/>
    <tableColumn id="10" xr3:uid="{44B1427B-51A5-4A4B-986B-52E087F76E18}" name="Cambiar los perfiles y presentar certificacion de conformidad RETIE" dataDxfId="2"/>
    <tableColumn id="11" xr3:uid="{BACE004C-2E60-4FA6-9BE0-7DF818CAE6E5}" name="Fotos 1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  <wetp:taskpane dockstate="right" visibility="0" width="438" row="4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B42C4A5C-2177-4019-868D-F766BCFD26F1}">
  <we:reference id="wa200007447" version="1.1.6.7" store="es-MX" storeType="OMEX"/>
  <we:alternateReferences>
    <we:reference id="wa200007447" version="1.1.6.7" store="WA200007447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_xldudf_BOARDFLARE_EXEC</we:customFunctionIds>
        <we:customFunctionIds>_xldudf_BOARDFLARE_RUNPY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C6DDCFEC-3EAC-478C-94FD-17F7FA23D578}">
  <we:reference id="wa200003696" version="1.3.0.0" store="es-ES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A"/>
  </sheetPr>
  <dimension ref="A1:R44"/>
  <sheetViews>
    <sheetView showGridLines="0" topLeftCell="A2" zoomScale="90" zoomScaleNormal="90" workbookViewId="0">
      <selection activeCell="Q6" sqref="Q6:R8"/>
    </sheetView>
  </sheetViews>
  <sheetFormatPr baseColWidth="10" defaultColWidth="8.54296875" defaultRowHeight="14.5" x14ac:dyDescent="0.35"/>
  <cols>
    <col min="1" max="1" width="19.54296875" customWidth="1"/>
    <col min="2" max="3" width="9" customWidth="1"/>
    <col min="4" max="5" width="10" customWidth="1"/>
    <col min="6" max="6" width="12" customWidth="1"/>
    <col min="7" max="7" width="16" customWidth="1"/>
    <col min="8" max="8" width="7.1796875" customWidth="1"/>
    <col min="9" max="9" width="16" customWidth="1"/>
    <col min="10" max="10" width="14" customWidth="1"/>
    <col min="11" max="11" width="14.54296875" customWidth="1"/>
    <col min="12" max="12" width="13" customWidth="1"/>
    <col min="13" max="13" width="9" customWidth="1"/>
    <col min="14" max="14" width="14" customWidth="1"/>
    <col min="15" max="15" width="5" customWidth="1"/>
    <col min="16" max="16" width="18" customWidth="1"/>
    <col min="17" max="18" width="8" customWidth="1"/>
  </cols>
  <sheetData>
    <row r="1" spans="1:18" ht="37.5" customHeight="1" x14ac:dyDescent="0.35">
      <c r="A1" s="117" t="s">
        <v>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</row>
    <row r="2" spans="1:18" ht="21.75" customHeight="1" x14ac:dyDescent="0.35">
      <c r="A2" s="118" t="s">
        <v>1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</row>
    <row r="3" spans="1:18" ht="18" customHeight="1" x14ac:dyDescent="0.35">
      <c r="A3" s="1" t="s">
        <v>2</v>
      </c>
      <c r="B3" s="115" t="s">
        <v>3</v>
      </c>
      <c r="C3" s="97"/>
      <c r="D3" s="97"/>
      <c r="E3" s="97"/>
      <c r="F3" s="97"/>
    </row>
    <row r="4" spans="1:18" ht="3" customHeight="1" x14ac:dyDescent="0.35">
      <c r="A4" s="120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</row>
    <row r="5" spans="1:18" ht="13.5" customHeight="1" x14ac:dyDescent="0.35"/>
    <row r="6" spans="1:18" ht="27.75" customHeight="1" x14ac:dyDescent="0.35">
      <c r="A6" s="121" t="s">
        <v>4</v>
      </c>
      <c r="B6" s="103"/>
      <c r="C6" s="103"/>
      <c r="D6" s="104"/>
      <c r="E6" s="111" t="s">
        <v>5</v>
      </c>
      <c r="F6" s="103"/>
      <c r="G6" s="103"/>
      <c r="H6" s="104"/>
      <c r="I6" s="119" t="s">
        <v>6</v>
      </c>
      <c r="J6" s="103"/>
      <c r="K6" s="103"/>
      <c r="L6" s="104"/>
      <c r="M6" s="102" t="s">
        <v>7</v>
      </c>
      <c r="N6" s="103"/>
      <c r="O6" s="103"/>
      <c r="P6" s="104"/>
      <c r="Q6" s="125" t="s">
        <v>8</v>
      </c>
      <c r="R6" s="126"/>
    </row>
    <row r="7" spans="1:18" ht="37.5" customHeight="1" x14ac:dyDescent="0.35">
      <c r="A7" s="123">
        <f>CALC_DATA!B15</f>
        <v>22</v>
      </c>
      <c r="B7" s="113"/>
      <c r="C7" s="113"/>
      <c r="D7" s="114"/>
      <c r="E7" s="116">
        <f>CALC_DATA!B18</f>
        <v>0.57842750396161779</v>
      </c>
      <c r="F7" s="113"/>
      <c r="G7" s="113"/>
      <c r="H7" s="114"/>
      <c r="I7" s="124">
        <f>CALC_DATA!B21</f>
        <v>2</v>
      </c>
      <c r="J7" s="113"/>
      <c r="K7" s="113"/>
      <c r="L7" s="114"/>
      <c r="M7" s="112">
        <f>CALC_DATA!B22</f>
        <v>8</v>
      </c>
      <c r="N7" s="113"/>
      <c r="O7" s="113"/>
      <c r="P7" s="114"/>
      <c r="Q7" s="127"/>
      <c r="R7" s="97"/>
    </row>
    <row r="8" spans="1:18" ht="21.75" customHeight="1" x14ac:dyDescent="0.35">
      <c r="A8" s="106" t="s">
        <v>9</v>
      </c>
      <c r="B8" s="107"/>
      <c r="C8" s="107"/>
      <c r="D8" s="108"/>
      <c r="E8" s="122" t="s">
        <v>9</v>
      </c>
      <c r="F8" s="107"/>
      <c r="G8" s="107"/>
      <c r="H8" s="108"/>
      <c r="I8" s="110" t="s">
        <v>9</v>
      </c>
      <c r="J8" s="107"/>
      <c r="K8" s="107"/>
      <c r="L8" s="108"/>
      <c r="M8" s="109" t="s">
        <v>9</v>
      </c>
      <c r="N8" s="107"/>
      <c r="O8" s="107"/>
      <c r="P8" s="108"/>
      <c r="Q8" s="127"/>
      <c r="R8" s="97"/>
    </row>
    <row r="9" spans="1:18" ht="13.5" customHeight="1" x14ac:dyDescent="0.35"/>
    <row r="10" spans="1:18" ht="4.5" customHeight="1" x14ac:dyDescent="0.35"/>
    <row r="11" spans="1:18" ht="19.5" customHeight="1" x14ac:dyDescent="0.35">
      <c r="A11" s="98" t="s">
        <v>10</v>
      </c>
      <c r="B11" s="99"/>
      <c r="C11" s="99"/>
      <c r="D11" s="99"/>
      <c r="E11" s="99"/>
      <c r="F11" s="99"/>
      <c r="G11" s="99"/>
      <c r="I11" s="98" t="s">
        <v>11</v>
      </c>
      <c r="J11" s="99"/>
      <c r="K11" s="99"/>
      <c r="L11" s="99"/>
      <c r="M11" s="99"/>
      <c r="N11" s="99"/>
      <c r="P11" s="98" t="s">
        <v>12</v>
      </c>
      <c r="Q11" s="99"/>
      <c r="R11" s="99"/>
    </row>
    <row r="12" spans="1:18" ht="19.5" customHeight="1" x14ac:dyDescent="0.35">
      <c r="A12" s="2" t="s">
        <v>13</v>
      </c>
      <c r="B12" s="2" t="s">
        <v>14</v>
      </c>
      <c r="C12" s="2" t="s">
        <v>15</v>
      </c>
      <c r="D12" s="2" t="s">
        <v>16</v>
      </c>
      <c r="E12" s="2" t="s">
        <v>17</v>
      </c>
      <c r="F12" s="2" t="s">
        <v>18</v>
      </c>
      <c r="G12" s="2" t="s">
        <v>19</v>
      </c>
      <c r="I12" s="2" t="s">
        <v>20</v>
      </c>
      <c r="J12" s="2" t="s">
        <v>21</v>
      </c>
      <c r="K12" s="2" t="s">
        <v>22</v>
      </c>
      <c r="L12" s="2" t="s">
        <v>23</v>
      </c>
      <c r="M12" s="2" t="s">
        <v>19</v>
      </c>
    </row>
    <row r="13" spans="1:18" ht="18" customHeight="1" x14ac:dyDescent="0.35">
      <c r="A13" s="3" t="s">
        <v>24</v>
      </c>
      <c r="B13" s="4">
        <f>IFERROR(CALC_DATA!H3,0)</f>
        <v>1</v>
      </c>
      <c r="C13" s="4">
        <f>IFERROR(CALC_DATA!G3,0)</f>
        <v>1</v>
      </c>
      <c r="D13" s="5">
        <f>IFERROR(VLOOKUP("ECD22005_SISTEMA B-2880 AZUFRE II ETAPA 2",CONSOLIDADO!B:F,5,0),0)</f>
        <v>1</v>
      </c>
      <c r="E13" s="6">
        <f>IFERROR(VLOOKUP("ECD22005_SISTEMA B-2880 AZUFRE II ETAPA 2",CONSOLIDADO!B:C,2,0),0)</f>
        <v>8</v>
      </c>
      <c r="F13" s="6">
        <f>IFERROR(VLOOKUP("ECD22005_SISTEMA B-2880 AZUFRE II ETAPA 2",CONSOLIDADO!B:D,3,0),0)</f>
        <v>8</v>
      </c>
      <c r="G13" s="6" t="str">
        <f>IF(D13&gt;=0.9,"✅ Verde",IF(D13&gt;=0.7,"⚠️ Amarillo","🔴 Rojo"))</f>
        <v>✅ Verde</v>
      </c>
      <c r="I13" s="3" t="s">
        <v>25</v>
      </c>
      <c r="J13" s="3">
        <f>IFERROR(SUMPRODUCT((MASTER_ACTIVIDADES!C$3:C$198=I13)*(UPPER(MASTER_ACTIVIDADES!M$3:M$198)="SI")*MASTER_ACTIVIDADES!I$3:I$198),0)</f>
        <v>96</v>
      </c>
      <c r="K13" s="3">
        <f>IFERROR(SUMPRODUCT((MASTER_ACTIVIDADES!C$3:C$198=I13)*(UPPER(MASTER_ACTIVIDADES!M$3:M$198)="SI")*(MASTER_ACTIVIDADES!N$3:N$198="Completo")*MASTER_ACTIVIDADES!I$3:I$198),0)</f>
        <v>10</v>
      </c>
      <c r="L13" s="7">
        <f>IFERROR(K13/J13,0)</f>
        <v>0.10416666666666667</v>
      </c>
      <c r="M13" s="3" t="str">
        <f>IF(J13=0,"—",IF(L13&gt;=0.9,"✅",IF(L13&gt;=0.7,"⚠️","🔴")))</f>
        <v>🔴</v>
      </c>
      <c r="P13" s="8" t="s">
        <v>26</v>
      </c>
      <c r="Q13" s="105" t="s">
        <v>27</v>
      </c>
      <c r="R13" s="101"/>
    </row>
    <row r="14" spans="1:18" ht="18" customHeight="1" x14ac:dyDescent="0.35">
      <c r="A14" s="9" t="s">
        <v>28</v>
      </c>
      <c r="B14" s="10">
        <f>IFERROR(CALC_DATA!H4,0)</f>
        <v>0</v>
      </c>
      <c r="C14" s="10">
        <f>IFERROR(CALC_DATA!G4,0)</f>
        <v>0</v>
      </c>
      <c r="D14" s="11">
        <f>IFERROR(VLOOKUP("ECD17011_NUEVOLABORATORIO GRB",CONSOLIDADO!B:F,5,0),0)</f>
        <v>0</v>
      </c>
      <c r="E14" s="12">
        <f>IFERROR(VLOOKUP("ECD17011_NUEVOLABORATORIO GRB",CONSOLIDADO!B:C,2,0),0)</f>
        <v>2</v>
      </c>
      <c r="F14" s="12">
        <f>IFERROR(VLOOKUP("ECD17011_NUEVOLABORATORIO GRB",CONSOLIDADO!B:D,3,0),0)</f>
        <v>0</v>
      </c>
      <c r="G14" s="12" t="str">
        <f>IF(D14&gt;=0.9,"✅ Verde",IF(D14&gt;=0.7,"⚠️ Amarillo","🔴 Rojo"))</f>
        <v>🔴 Rojo</v>
      </c>
      <c r="I14" s="9" t="s">
        <v>29</v>
      </c>
      <c r="J14" s="3">
        <f>IFERROR(SUMPRODUCT((MASTER_ACTIVIDADES!C$3:C$198=I14)*(UPPER(MASTER_ACTIVIDADES!M$3:M$198)="SI")*MASTER_ACTIVIDADES!I$3:I$198),0)</f>
        <v>80</v>
      </c>
      <c r="K14" s="9">
        <f>IFERROR(SUMPRODUCT((MASTER_ACTIVIDADES!C$3:C$198=I14)*(UPPER(MASTER_ACTIVIDADES!M$3:M$198)="SI")*(MASTER_ACTIVIDADES!N$3:N$198="Completo")*MASTER_ACTIVIDADES!I$3:I$198),0)</f>
        <v>28</v>
      </c>
      <c r="L14" s="13">
        <f>IFERROR(K14/J14,0)</f>
        <v>0.35</v>
      </c>
      <c r="M14" s="9" t="str">
        <f>IF(J14=0,"—",IF(L14&gt;=0.9,"✅",IF(L14&gt;=0.7,"⚠️","🔴")))</f>
        <v>🔴</v>
      </c>
      <c r="P14" s="14" t="s">
        <v>30</v>
      </c>
      <c r="Q14" s="105" t="s">
        <v>31</v>
      </c>
      <c r="R14" s="101"/>
    </row>
    <row r="15" spans="1:18" ht="18" customHeight="1" x14ac:dyDescent="0.35">
      <c r="A15" s="3" t="s">
        <v>32</v>
      </c>
      <c r="B15" s="4">
        <f>IFERROR(CALC_DATA!H5,0)</f>
        <v>3.0263157894736843E-2</v>
      </c>
      <c r="C15" s="4">
        <f>IFERROR(CALC_DATA!G5,0)</f>
        <v>0.33333333333333331</v>
      </c>
      <c r="D15" s="5">
        <f>IFERROR(VLOOKUP("ECD20005_LINEA BASE CALIDAD DE COMBUSTIBLE 10 PPM",CONSOLIDADO!B:F,5,0),0)</f>
        <v>0.19557416267942582</v>
      </c>
      <c r="E15" s="6">
        <f>IFERROR(VLOOKUP("ECD20005_LINEA BASE CALIDAD DE COMBUSTIBLE 10 PPM",CONSOLIDADO!B:C,2,0),0)</f>
        <v>12</v>
      </c>
      <c r="F15" s="6">
        <f>IFERROR(VLOOKUP("ECD20005_LINEA BASE CALIDAD DE COMBUSTIBLE 10 PPM",CONSOLIDADO!B:D,3,0),0)</f>
        <v>2</v>
      </c>
      <c r="G15" s="6" t="str">
        <f>IF(D15&gt;=0.9,"✅ Verde",IF(D15&gt;=0.7,"⚠️ Amarillo","🔴 Rojo"))</f>
        <v>🔴 Rojo</v>
      </c>
      <c r="I15" s="3" t="s">
        <v>33</v>
      </c>
      <c r="J15" s="3">
        <f>IFERROR(SUMPRODUCT((MASTER_ACTIVIDADES!C$3:C$198=I15)*(UPPER(MASTER_ACTIVIDADES!M$3:M$198)="SI")*MASTER_ACTIVIDADES!I$3:I$198),0)</f>
        <v>21</v>
      </c>
      <c r="K15" s="3">
        <f>IFERROR(SUMPRODUCT((MASTER_ACTIVIDADES!C$3:C$198=I15)*(UPPER(MASTER_ACTIVIDADES!M$3:M$198)="SI")*(MASTER_ACTIVIDADES!N$3:N$198="Completo")*MASTER_ACTIVIDADES!I$3:I$198),0)</f>
        <v>0</v>
      </c>
      <c r="L15" s="7">
        <f>IFERROR(K15/J15,0)</f>
        <v>0</v>
      </c>
      <c r="M15" s="3" t="str">
        <f>IF(J15=0,"—",IF(L15&gt;=0.9,"✅",IF(L15&gt;=0.7,"⚠️","🔴")))</f>
        <v>🔴</v>
      </c>
      <c r="P15" s="15" t="s">
        <v>34</v>
      </c>
      <c r="Q15" s="105" t="s">
        <v>35</v>
      </c>
      <c r="R15" s="101"/>
    </row>
    <row r="16" spans="1:18" x14ac:dyDescent="0.35">
      <c r="A16" s="9"/>
      <c r="B16" s="12"/>
      <c r="C16" s="12"/>
      <c r="D16" s="12"/>
      <c r="I16" s="9" t="s">
        <v>36</v>
      </c>
      <c r="J16" s="3">
        <f>IFERROR(SUMPRODUCT((MASTER_ACTIVIDADES!C$3:C$198=I16)*(UPPER(MASTER_ACTIVIDADES!M$3:M$198)="SI")*MASTER_ACTIVIDADES!I$3:I$198),0)</f>
        <v>5</v>
      </c>
      <c r="K16" s="9">
        <f>IFERROR(SUMPRODUCT((MASTER_ACTIVIDADES!C$3:C$198=I16)*(UPPER(MASTER_ACTIVIDADES!M$3:M$198)="SI")*(MASTER_ACTIVIDADES!N$3:N$198="Completo")*MASTER_ACTIVIDADES!I$3:I$198),0)</f>
        <v>2</v>
      </c>
      <c r="L16" s="13">
        <f>IFERROR(K16/J16,0)</f>
        <v>0.4</v>
      </c>
      <c r="M16" s="9" t="str">
        <f>IF(J16=0,"—",IF(L16&gt;=0.9,"✅",IF(L16&gt;=0.7,"⚠️","🔴")))</f>
        <v>🔴</v>
      </c>
    </row>
    <row r="17" spans="1:18" ht="24" customHeight="1" x14ac:dyDescent="0.35">
      <c r="A17" s="3"/>
      <c r="B17" s="6"/>
      <c r="C17" s="6"/>
      <c r="D17" s="6"/>
      <c r="G17" t="s">
        <v>37</v>
      </c>
      <c r="I17" s="3" t="s">
        <v>38</v>
      </c>
      <c r="J17" s="3">
        <f>IFERROR(SUMPRODUCT((MASTER_ACTIVIDADES!C$3:C$198=I17)*(UPPER(MASTER_ACTIVIDADES!M$3:M$198)="SI")*MASTER_ACTIVIDADES!I$3:I$198),0)</f>
        <v>5</v>
      </c>
      <c r="K17" s="3">
        <f>IFERROR(SUMPRODUCT((MASTER_ACTIVIDADES!C$3:C$198=I17)*(UPPER(MASTER_ACTIVIDADES!M$3:M$198)="SI")*(MASTER_ACTIVIDADES!N$3:N$198="Completo")*MASTER_ACTIVIDADES!I$3:I$198),0)</f>
        <v>2</v>
      </c>
      <c r="L17" s="7">
        <f>IFERROR(K17/J17,0)</f>
        <v>0.4</v>
      </c>
      <c r="M17" s="3" t="str">
        <f>IF(J17=0,"—",IF(L17&gt;=0.9,"✅",IF(L17&gt;=0.7,"⚠️","🔴")))</f>
        <v>🔴</v>
      </c>
    </row>
    <row r="18" spans="1:18" ht="19.5" customHeight="1" x14ac:dyDescent="0.35">
      <c r="A18" s="98" t="s">
        <v>39</v>
      </c>
      <c r="B18" s="99"/>
      <c r="C18" s="99"/>
      <c r="D18" s="99"/>
      <c r="E18" s="99"/>
      <c r="F18" s="99"/>
      <c r="G18" s="99"/>
      <c r="I18" s="98" t="s">
        <v>40</v>
      </c>
      <c r="J18" s="99"/>
      <c r="K18" s="99"/>
      <c r="L18" s="99"/>
      <c r="M18" s="99"/>
      <c r="N18" s="99"/>
      <c r="P18" s="98" t="s">
        <v>41</v>
      </c>
      <c r="Q18" s="99"/>
      <c r="R18" s="99"/>
    </row>
    <row r="19" spans="1:18" ht="18" customHeight="1" x14ac:dyDescent="0.35">
      <c r="A19" s="2" t="s">
        <v>42</v>
      </c>
      <c r="B19" s="2" t="s">
        <v>43</v>
      </c>
      <c r="C19" s="2" t="s">
        <v>44</v>
      </c>
      <c r="D19" s="2" t="s">
        <v>45</v>
      </c>
      <c r="E19" s="2" t="s">
        <v>46</v>
      </c>
      <c r="F19" s="2" t="s">
        <v>47</v>
      </c>
      <c r="I19" s="2" t="s">
        <v>13</v>
      </c>
      <c r="J19" s="2" t="s">
        <v>48</v>
      </c>
      <c r="K19" s="2" t="s">
        <v>49</v>
      </c>
      <c r="L19" s="16" t="s">
        <v>50</v>
      </c>
      <c r="M19" s="2" t="s">
        <v>23</v>
      </c>
      <c r="N19" s="2" t="s">
        <v>19</v>
      </c>
    </row>
    <row r="20" spans="1:18" ht="15.75" customHeight="1" x14ac:dyDescent="0.35">
      <c r="A20" s="9" t="str">
        <f>CALC_DATA!D15</f>
        <v>S24</v>
      </c>
      <c r="B20" s="12">
        <f>IFERROR(SUMIF(PLAN_SEMANAL!C$3:C$200,A20,PLAN_SEMANAL!E$3:E$200),0)</f>
        <v>2</v>
      </c>
      <c r="C20" s="12">
        <f>IFERROR(SUMIF(PLAN_SEMANAL!C$3:C$200,A20,PLAN_SEMANAL!F$3:F$200),0)</f>
        <v>1</v>
      </c>
      <c r="D20" s="12">
        <f t="shared" ref="D20:D25" si="0">C20-B20</f>
        <v>-1</v>
      </c>
      <c r="E20" s="10">
        <f t="shared" ref="E20:E25" si="1">IFERROR(C20/B20,0)</f>
        <v>0.5</v>
      </c>
      <c r="F20" s="12" t="str">
        <f t="shared" ref="F20:F25" si="2">IF(B20=0,"➖ Sin datos",IF(E20&gt;=0.9,"✅ Cumplido",IF(E20&gt;=0.7,"⚠️ Parcial","🔴 Crítico")))</f>
        <v>🔴 Crítico</v>
      </c>
      <c r="I20" s="9" t="s">
        <v>24</v>
      </c>
      <c r="J20" s="9" t="s">
        <v>51</v>
      </c>
      <c r="K20" s="9">
        <f>SUMIFS('CERTIFICADOS'!F:F, 'CERTIFICADOS'!A:A,"CERT-001-AZUFRE-CALIBRACION*",'CERTIFICADOS'!C:C, "Cert. Calibración")</f>
        <v>9</v>
      </c>
      <c r="L20" s="9">
        <f>SUMIFS('CERTIFICADOS'!G:G, 'CERTIFICADOS'!A:A,"CERT-001-AZUFRE-CALIBRACION*",'CERTIFICADOS'!C:C, "Cert. Calibración")</f>
        <v>9</v>
      </c>
      <c r="M20" s="13">
        <f t="shared" ref="M20:M25" si="3">IFERROR(L20/K20,0)</f>
        <v>1</v>
      </c>
      <c r="N20" s="9" t="str">
        <f>IF(K20=0,"⏳ Pendiente",IF(L20&gt;=K20,"✅ Completo","🔄 Parcial"))</f>
        <v>✅ Completo</v>
      </c>
      <c r="P20" s="100" t="s">
        <v>52</v>
      </c>
      <c r="Q20" s="101"/>
      <c r="R20" s="17">
        <f>IFERROR(COUNTIF('REGISTRO_NC'!I$3:I$201,"🔴 Abierta"),0)</f>
        <v>2</v>
      </c>
    </row>
    <row r="21" spans="1:18" ht="15.75" customHeight="1" x14ac:dyDescent="0.35">
      <c r="A21" s="9" t="str">
        <f>CALC_DATA!D16</f>
        <v>S23</v>
      </c>
      <c r="B21" s="12">
        <f>IFERROR(SUMIF(PLAN_SEMANAL!C$3:C$200,A21,PLAN_SEMANAL!E$3:E$200),0)</f>
        <v>2</v>
      </c>
      <c r="C21" s="12">
        <f>IFERROR(SUMIF(PLAN_SEMANAL!C$3:C$200,A21,PLAN_SEMANAL!F$3:F$200),0)</f>
        <v>0</v>
      </c>
      <c r="D21" s="6">
        <f t="shared" si="0"/>
        <v>-2</v>
      </c>
      <c r="E21" s="4">
        <f t="shared" si="1"/>
        <v>0</v>
      </c>
      <c r="F21" s="6" t="str">
        <f t="shared" si="2"/>
        <v>🔴 Crítico</v>
      </c>
      <c r="I21" s="3" t="s">
        <v>24</v>
      </c>
      <c r="J21" s="3" t="s">
        <v>53</v>
      </c>
      <c r="K21" s="3">
        <f>SUMIFS('CERTIFICADOS'!F:F, 'CERTIFICADOS'!A:A,"CERT-002-C-AZUFRE-MATERIALES*",'CERTIFICADOS'!C:C, "Conformidad Materiales")</f>
        <v>10</v>
      </c>
      <c r="L21" s="3">
        <f>SUMIFS('CERTIFICADOS'!G:G, 'CERTIFICADOS'!A:A,"CERT-002-C-AZUFRE-MATERIALES*",'CERTIFICADOS'!C:C, "Conformidad Materiales")</f>
        <v>10</v>
      </c>
      <c r="M21" s="13">
        <f t="shared" si="3"/>
        <v>1</v>
      </c>
      <c r="N21" s="9" t="str">
        <f t="shared" ref="N21:N25" si="4">IF(K21=0,"⏳ Pendiente",IF(L21&gt;=K21,"✅ Completo","🔄 Parcial"))</f>
        <v>✅ Completo</v>
      </c>
      <c r="P21" s="100" t="s">
        <v>54</v>
      </c>
      <c r="Q21" s="101"/>
      <c r="R21" s="17">
        <f>IFERROR(COUNTIF(PLAN_SEMANAL!C$3:C$200,"S*"),0)</f>
        <v>9</v>
      </c>
    </row>
    <row r="22" spans="1:18" ht="15.75" customHeight="1" x14ac:dyDescent="0.35">
      <c r="A22" s="9" t="str">
        <f>CALC_DATA!D17</f>
        <v>S23</v>
      </c>
      <c r="B22" s="12">
        <f>IFERROR(SUMIF(PLAN_SEMANAL!C$3:C$200,A22,PLAN_SEMANAL!E$3:E$200),0)</f>
        <v>2</v>
      </c>
      <c r="C22" s="12">
        <f>IFERROR(SUMIF(PLAN_SEMANAL!C$3:C$200,A22,PLAN_SEMANAL!F$3:F$200),0)</f>
        <v>0</v>
      </c>
      <c r="D22" s="12">
        <f t="shared" si="0"/>
        <v>-2</v>
      </c>
      <c r="E22" s="10">
        <f t="shared" si="1"/>
        <v>0</v>
      </c>
      <c r="F22" s="12" t="str">
        <f t="shared" si="2"/>
        <v>🔴 Crítico</v>
      </c>
      <c r="I22" s="9" t="s">
        <v>55</v>
      </c>
      <c r="J22" s="9" t="s">
        <v>51</v>
      </c>
      <c r="K22" s="3">
        <f>SUMIFS('CERTIFICADOS'!F:F, 'CERTIFICADOS'!A:A,"CERT-001-NUEVOLAB-CALIBRACION*",'CERTIFICADOS'!C:C, "Cert. Calibración")</f>
        <v>3</v>
      </c>
      <c r="L22" s="3">
        <f>SUMIFS('CERTIFICADOS'!G:G, 'CERTIFICADOS'!A:A,"CERT-001-NUEVOLAB-CALIBRACION*",'CERTIFICADOS'!C:C, "Cert. Calibración")</f>
        <v>1</v>
      </c>
      <c r="M22" s="13">
        <f t="shared" si="3"/>
        <v>0.33333333333333331</v>
      </c>
      <c r="N22" s="9" t="str">
        <f t="shared" si="4"/>
        <v>🔄 Parcial</v>
      </c>
      <c r="P22" s="100" t="s">
        <v>56</v>
      </c>
      <c r="Q22" s="101"/>
      <c r="R22" s="17">
        <f>IFERROR(COUNTIF(CONSOLIDADO!F3:F12,"&gt;0"),0)</f>
        <v>2</v>
      </c>
    </row>
    <row r="23" spans="1:18" ht="15.75" customHeight="1" x14ac:dyDescent="0.35">
      <c r="A23" s="9" t="str">
        <f>CALC_DATA!D18</f>
        <v>S24</v>
      </c>
      <c r="B23" s="12">
        <f>IFERROR(SUMIF(PLAN_SEMANAL!C$3:C$200,A23,PLAN_SEMANAL!E$3:E$200),0)</f>
        <v>2</v>
      </c>
      <c r="C23" s="12">
        <f>IFERROR(SUMIF(PLAN_SEMANAL!C$3:C$200,A23,PLAN_SEMANAL!F$3:F$200),0)</f>
        <v>1</v>
      </c>
      <c r="D23" s="6">
        <f t="shared" si="0"/>
        <v>-1</v>
      </c>
      <c r="E23" s="4">
        <f t="shared" si="1"/>
        <v>0.5</v>
      </c>
      <c r="F23" s="6" t="str">
        <f t="shared" si="2"/>
        <v>🔴 Crítico</v>
      </c>
      <c r="I23" s="3" t="s">
        <v>55</v>
      </c>
      <c r="J23" s="3" t="s">
        <v>53</v>
      </c>
      <c r="K23" s="3">
        <f>SUMIFS('CERTIFICADOS'!F:F, 'CERTIFICADOS'!A:A,"CERT-002-C-NUEVOLAB-MATERIALES*",'CERTIFICADOS'!C:C, "Conformidad Materiales")</f>
        <v>3</v>
      </c>
      <c r="L23" s="3">
        <f>SUMIFS('CERTIFICADOS'!G:G, 'CERTIFICADOS'!A:A,"CERT-002-C-NUEVOLAB-MATERIALES*",'CERTIFICADOS'!C:C, "Conformidad Materiales")</f>
        <v>0</v>
      </c>
      <c r="M23" s="13">
        <f t="shared" si="3"/>
        <v>0</v>
      </c>
      <c r="N23" s="9" t="str">
        <f t="shared" si="4"/>
        <v>🔄 Parcial</v>
      </c>
      <c r="P23" s="100" t="s">
        <v>57</v>
      </c>
      <c r="Q23" s="101"/>
      <c r="R23" s="17">
        <f>IFERROR(SUMPRODUCT(1/COUNTIF(MASTER_ACTIVIDADES!J$3:J$198,MASTER_ACTIVIDADES!J$3:J$198)*(MASTER_ACTIVIDADES!J$3:J$198&lt;&gt;"")),0)</f>
        <v>0</v>
      </c>
    </row>
    <row r="24" spans="1:18" ht="15.75" customHeight="1" x14ac:dyDescent="0.35">
      <c r="A24" s="9" t="str">
        <f>CALC_DATA!D19</f>
        <v>S0</v>
      </c>
      <c r="B24" s="12">
        <f>IFERROR(SUMIF(PLAN_SEMANAL!C$3:C$200,A24,PLAN_SEMANAL!E$3:E$200),0)</f>
        <v>0</v>
      </c>
      <c r="C24" s="12">
        <f>IFERROR(SUMIF(PLAN_SEMANAL!C$3:C$200,A24,PLAN_SEMANAL!F$3:F$200),0)</f>
        <v>0</v>
      </c>
      <c r="D24" s="12">
        <f t="shared" si="0"/>
        <v>0</v>
      </c>
      <c r="E24" s="10">
        <f t="shared" si="1"/>
        <v>0</v>
      </c>
      <c r="F24" s="12" t="str">
        <f t="shared" si="2"/>
        <v>➖ Sin datos</v>
      </c>
      <c r="I24" s="9" t="s">
        <v>32</v>
      </c>
      <c r="J24" s="9" t="s">
        <v>51</v>
      </c>
      <c r="K24" s="3">
        <f>SUMIFS('CERTIFICADOS'!F:F, 'CERTIFICADOS'!A:A,"CERT-001-LBCC-CALIBRACION*",'CERTIFICADOS'!C:C, "Cert. Calibración")</f>
        <v>3</v>
      </c>
      <c r="L24" s="3">
        <f>SUMIFS('CERTIFICADOS'!G:G, 'CERTIFICADOS'!A:A,"CERT-001-LBCC-CALIBRACION*",'CERTIFICADOS'!C:C, "Cert. Calibración")</f>
        <v>1</v>
      </c>
      <c r="M24" s="13">
        <f t="shared" si="3"/>
        <v>0.33333333333333331</v>
      </c>
      <c r="N24" s="9" t="str">
        <f t="shared" si="4"/>
        <v>🔄 Parcial</v>
      </c>
    </row>
    <row r="25" spans="1:18" ht="15.75" customHeight="1" x14ac:dyDescent="0.35">
      <c r="A25" s="9" t="str">
        <f>CALC_DATA!D20</f>
        <v>S0</v>
      </c>
      <c r="B25" s="12">
        <f>IFERROR(SUMIF(PLAN_SEMANAL!C$3:C$200,A25,PLAN_SEMANAL!E$3:E$200),0)</f>
        <v>0</v>
      </c>
      <c r="C25" s="12">
        <f>IFERROR(SUMIF(PLAN_SEMANAL!C$3:C$200,A25,PLAN_SEMANAL!F$3:F$200),0)</f>
        <v>0</v>
      </c>
      <c r="D25" s="6">
        <f t="shared" si="0"/>
        <v>0</v>
      </c>
      <c r="E25" s="4">
        <f t="shared" si="1"/>
        <v>0</v>
      </c>
      <c r="F25" s="6" t="str">
        <f t="shared" si="2"/>
        <v>➖ Sin datos</v>
      </c>
      <c r="I25" s="3" t="s">
        <v>32</v>
      </c>
      <c r="J25" s="3" t="s">
        <v>53</v>
      </c>
      <c r="K25" s="3">
        <f>SUMIFS('CERTIFICADOS'!F:F, 'CERTIFICADOS'!A:A,"CERT-002-LBCC-MATERIALES*",'CERTIFICADOS'!C:C, "Conformidad Materiales")</f>
        <v>4</v>
      </c>
      <c r="L25" s="3">
        <f>SUMIFS('CERTIFICADOS'!G:G, 'CERTIFICADOS'!A:A,"CERT-002-LBCC-MATERIALES*",'CERTIFICADOS'!C:C, "Conformidad Materiales")</f>
        <v>4</v>
      </c>
      <c r="M25" s="13">
        <f t="shared" si="3"/>
        <v>1</v>
      </c>
      <c r="N25" s="9" t="str">
        <f t="shared" si="4"/>
        <v>✅ Completo</v>
      </c>
    </row>
    <row r="26" spans="1:18" ht="7.5" customHeight="1" x14ac:dyDescent="0.35"/>
    <row r="27" spans="1:18" x14ac:dyDescent="0.35">
      <c r="A27" s="98" t="s">
        <v>58</v>
      </c>
      <c r="B27" s="99"/>
      <c r="C27" s="99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</row>
    <row r="28" spans="1:18" x14ac:dyDescent="0.35">
      <c r="A28" s="18" t="s">
        <v>13</v>
      </c>
      <c r="B28" s="18" t="s">
        <v>14</v>
      </c>
      <c r="C28" s="18" t="s">
        <v>15</v>
      </c>
      <c r="F28" s="18" t="s">
        <v>42</v>
      </c>
      <c r="G28" s="18" t="s">
        <v>43</v>
      </c>
      <c r="H28" s="18" t="s">
        <v>44</v>
      </c>
    </row>
    <row r="29" spans="1:18" x14ac:dyDescent="0.35">
      <c r="A29" s="9" t="s">
        <v>24</v>
      </c>
      <c r="B29" s="10">
        <f>IFERROR(CALC_DATA!H3,0)</f>
        <v>1</v>
      </c>
      <c r="C29" s="10">
        <f>IFERROR(CALC_DATA!G3,0)</f>
        <v>1</v>
      </c>
      <c r="F29" t="s">
        <v>59</v>
      </c>
      <c r="G29">
        <f>IFERROR(CALC_DATA!E15,0)</f>
        <v>0</v>
      </c>
      <c r="H29">
        <f>IFERROR(CALC_DATA!F15,0)</f>
        <v>0</v>
      </c>
    </row>
    <row r="30" spans="1:18" x14ac:dyDescent="0.35">
      <c r="A30" s="9" t="s">
        <v>28</v>
      </c>
      <c r="B30" s="10">
        <f>IFERROR(CALC_DATA!H4,0)</f>
        <v>0</v>
      </c>
      <c r="C30" s="10">
        <f>IFERROR(CALC_DATA!G4,0)</f>
        <v>0</v>
      </c>
      <c r="F30" t="s">
        <v>60</v>
      </c>
      <c r="G30">
        <f>IFERROR(CALC_DATA!E16,0)</f>
        <v>0</v>
      </c>
      <c r="H30">
        <f>IFERROR(CALC_DATA!F16,0)</f>
        <v>0</v>
      </c>
    </row>
    <row r="31" spans="1:18" x14ac:dyDescent="0.35">
      <c r="A31" s="9" t="s">
        <v>32</v>
      </c>
      <c r="B31" s="10">
        <f>IFERROR(CALC_DATA!H5,0)</f>
        <v>3.0263157894736843E-2</v>
      </c>
      <c r="C31" s="10">
        <f>IFERROR(CALC_DATA!G5,0)</f>
        <v>0.33333333333333331</v>
      </c>
      <c r="F31" t="s">
        <v>61</v>
      </c>
      <c r="G31">
        <f>IFERROR(CALC_DATA!E17,0)</f>
        <v>2</v>
      </c>
      <c r="H31">
        <f>IFERROR(CALC_DATA!F17,0)</f>
        <v>0</v>
      </c>
    </row>
    <row r="32" spans="1:18" x14ac:dyDescent="0.35">
      <c r="A32" s="9"/>
      <c r="B32" s="12"/>
      <c r="C32" s="12"/>
      <c r="F32" t="s">
        <v>62</v>
      </c>
      <c r="G32">
        <f>IFERROR(CALC_DATA!E18,0)</f>
        <v>2</v>
      </c>
      <c r="H32">
        <f>IFERROR(CALC_DATA!F18,0)</f>
        <v>1</v>
      </c>
    </row>
    <row r="33" spans="1:9" x14ac:dyDescent="0.35">
      <c r="A33" s="9"/>
      <c r="B33" s="12"/>
      <c r="C33" s="12"/>
      <c r="F33" t="s">
        <v>63</v>
      </c>
      <c r="G33">
        <f>IFERROR(CALC_DATA!E19,0)</f>
        <v>0</v>
      </c>
      <c r="H33">
        <f>IFERROR(CALC_DATA!F19,0)</f>
        <v>0</v>
      </c>
    </row>
    <row r="34" spans="1:9" x14ac:dyDescent="0.35">
      <c r="A34" s="9"/>
      <c r="B34" s="12"/>
      <c r="C34" s="12"/>
      <c r="F34" t="s">
        <v>64</v>
      </c>
      <c r="G34">
        <f>IFERROR(CALC_DATA!E20,0)</f>
        <v>0</v>
      </c>
      <c r="H34">
        <f>IFERROR(CALC_DATA!F20,0)</f>
        <v>0</v>
      </c>
    </row>
    <row r="44" spans="1:9" x14ac:dyDescent="0.35">
      <c r="I44" s="86"/>
    </row>
  </sheetData>
  <mergeCells count="31">
    <mergeCell ref="B3:F3"/>
    <mergeCell ref="I18:N18"/>
    <mergeCell ref="E7:H7"/>
    <mergeCell ref="A1:R1"/>
    <mergeCell ref="A2:R2"/>
    <mergeCell ref="Q14:R14"/>
    <mergeCell ref="I6:L6"/>
    <mergeCell ref="P18:R18"/>
    <mergeCell ref="A11:G11"/>
    <mergeCell ref="A4:R4"/>
    <mergeCell ref="A6:D6"/>
    <mergeCell ref="E8:H8"/>
    <mergeCell ref="Q15:R15"/>
    <mergeCell ref="A7:D7"/>
    <mergeCell ref="I7:L7"/>
    <mergeCell ref="Q6:R8"/>
    <mergeCell ref="A27:R27"/>
    <mergeCell ref="P22:Q22"/>
    <mergeCell ref="P21:Q21"/>
    <mergeCell ref="P23:Q23"/>
    <mergeCell ref="M6:P6"/>
    <mergeCell ref="Q13:R13"/>
    <mergeCell ref="A8:D8"/>
    <mergeCell ref="P11:R11"/>
    <mergeCell ref="M8:P8"/>
    <mergeCell ref="I8:L8"/>
    <mergeCell ref="E6:H6"/>
    <mergeCell ref="P20:Q20"/>
    <mergeCell ref="I11:N11"/>
    <mergeCell ref="A18:G18"/>
    <mergeCell ref="M7:P7"/>
  </mergeCells>
  <pageMargins left="0.75" right="0.75" top="1" bottom="1" header="0.511811023622047" footer="0.511811023622047"/>
  <pageSetup paperSize="9" orientation="portrait" horizontalDpi="300" verticalDpi="300"/>
  <headerFooter>
    <oddFooter>&amp;C_x000D_&amp;1#&amp;"Aptos"&amp;11&amp;K000000 BV_C2_Internal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A6FA5"/>
  </sheetPr>
  <dimension ref="A1:O76"/>
  <sheetViews>
    <sheetView showGridLines="0" zoomScale="80" zoomScaleNormal="80" workbookViewId="0">
      <pane ySplit="2" topLeftCell="A31" activePane="bottomLeft" state="frozen"/>
      <selection activeCell="C1" sqref="C1"/>
      <selection pane="bottomLeft" activeCell="I39" sqref="I39"/>
    </sheetView>
  </sheetViews>
  <sheetFormatPr baseColWidth="10" defaultColWidth="8.54296875" defaultRowHeight="14.5" x14ac:dyDescent="0.35"/>
  <cols>
    <col min="1" max="1" width="9.1796875" customWidth="1"/>
    <col min="2" max="2" width="8" customWidth="1"/>
    <col min="3" max="3" width="37.1796875" customWidth="1"/>
    <col min="4" max="4" width="32.1796875" customWidth="1"/>
    <col min="5" max="5" width="15" customWidth="1"/>
    <col min="6" max="6" width="59.1796875" customWidth="1"/>
    <col min="7" max="7" width="12" customWidth="1"/>
    <col min="8" max="8" width="14.453125" customWidth="1"/>
    <col min="9" max="9" width="17.81640625" customWidth="1"/>
    <col min="10" max="11" width="15" customWidth="1"/>
    <col min="12" max="12" width="20" customWidth="1"/>
    <col min="13" max="13" width="9" customWidth="1"/>
    <col min="14" max="14" width="12" customWidth="1"/>
    <col min="15" max="15" width="64.453125" customWidth="1"/>
  </cols>
  <sheetData>
    <row r="1" spans="1:15" ht="30" customHeight="1" x14ac:dyDescent="0.35">
      <c r="A1" s="96" t="s">
        <v>65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</row>
    <row r="2" spans="1:15" ht="30" customHeight="1" x14ac:dyDescent="0.35">
      <c r="A2" s="57" t="s">
        <v>66</v>
      </c>
      <c r="B2" s="58" t="s">
        <v>48</v>
      </c>
      <c r="C2" s="58" t="s">
        <v>20</v>
      </c>
      <c r="D2" s="58" t="s">
        <v>67</v>
      </c>
      <c r="E2" s="58" t="s">
        <v>68</v>
      </c>
      <c r="F2" s="58" t="s">
        <v>13</v>
      </c>
      <c r="G2" s="58" t="s">
        <v>69</v>
      </c>
      <c r="H2" s="58" t="s">
        <v>70</v>
      </c>
      <c r="I2" s="58" t="s">
        <v>71</v>
      </c>
      <c r="J2" s="58" t="s">
        <v>72</v>
      </c>
      <c r="K2" s="58" t="s">
        <v>73</v>
      </c>
      <c r="L2" s="58" t="s">
        <v>74</v>
      </c>
      <c r="M2" s="58" t="s">
        <v>75</v>
      </c>
      <c r="N2" s="58" t="s">
        <v>19</v>
      </c>
      <c r="O2" s="57" t="s">
        <v>76</v>
      </c>
    </row>
    <row r="3" spans="1:15" ht="14.5" hidden="1" customHeight="1" thickTop="1" x14ac:dyDescent="0.35">
      <c r="A3" s="59" t="s">
        <v>77</v>
      </c>
      <c r="B3" s="60" t="s">
        <v>78</v>
      </c>
      <c r="C3" s="60" t="s">
        <v>36</v>
      </c>
      <c r="D3" s="60" t="s">
        <v>79</v>
      </c>
      <c r="E3" s="60" t="s">
        <v>80</v>
      </c>
      <c r="F3" s="60" t="s">
        <v>81</v>
      </c>
      <c r="G3" s="60" t="s">
        <v>82</v>
      </c>
      <c r="H3" s="60">
        <v>6</v>
      </c>
      <c r="I3" s="60">
        <v>1</v>
      </c>
      <c r="J3" s="84" t="s">
        <v>83</v>
      </c>
      <c r="K3" s="60" t="s">
        <v>84</v>
      </c>
      <c r="L3" s="60" t="s">
        <v>85</v>
      </c>
      <c r="M3" s="60" t="s">
        <v>86</v>
      </c>
      <c r="N3" s="84" t="s">
        <v>87</v>
      </c>
      <c r="O3" s="82"/>
    </row>
    <row r="4" spans="1:15" ht="14.5" hidden="1" customHeight="1" x14ac:dyDescent="0.35">
      <c r="A4" s="51" t="s">
        <v>88</v>
      </c>
      <c r="B4" s="51" t="s">
        <v>78</v>
      </c>
      <c r="C4" s="51" t="s">
        <v>38</v>
      </c>
      <c r="D4" s="51" t="s">
        <v>89</v>
      </c>
      <c r="E4" s="51" t="s">
        <v>80</v>
      </c>
      <c r="F4" s="51" t="s">
        <v>81</v>
      </c>
      <c r="G4" s="51" t="s">
        <v>82</v>
      </c>
      <c r="H4" s="51">
        <v>8</v>
      </c>
      <c r="I4" s="51">
        <v>1</v>
      </c>
      <c r="J4" s="51" t="s">
        <v>83</v>
      </c>
      <c r="K4" s="51" t="s">
        <v>90</v>
      </c>
      <c r="L4" s="51" t="s">
        <v>91</v>
      </c>
      <c r="M4" s="51" t="s">
        <v>86</v>
      </c>
      <c r="N4" s="50" t="s">
        <v>87</v>
      </c>
      <c r="O4" s="82"/>
    </row>
    <row r="5" spans="1:15" ht="14.5" hidden="1" customHeight="1" x14ac:dyDescent="0.35">
      <c r="A5" s="51" t="s">
        <v>92</v>
      </c>
      <c r="B5" s="51" t="s">
        <v>78</v>
      </c>
      <c r="C5" s="51" t="s">
        <v>93</v>
      </c>
      <c r="D5" s="51" t="s">
        <v>94</v>
      </c>
      <c r="E5" s="51" t="s">
        <v>80</v>
      </c>
      <c r="F5" s="51" t="s">
        <v>81</v>
      </c>
      <c r="G5" s="51" t="s">
        <v>82</v>
      </c>
      <c r="H5" s="51">
        <v>10</v>
      </c>
      <c r="I5" s="51">
        <v>1</v>
      </c>
      <c r="J5" s="51" t="s">
        <v>83</v>
      </c>
      <c r="K5" s="51" t="s">
        <v>90</v>
      </c>
      <c r="L5" s="51" t="s">
        <v>91</v>
      </c>
      <c r="M5" s="62" t="s">
        <v>86</v>
      </c>
      <c r="N5" s="50" t="s">
        <v>87</v>
      </c>
      <c r="O5" s="82"/>
    </row>
    <row r="6" spans="1:15" ht="14.5" hidden="1" customHeight="1" x14ac:dyDescent="0.35">
      <c r="A6" s="52" t="s">
        <v>95</v>
      </c>
      <c r="B6" s="52" t="s">
        <v>78</v>
      </c>
      <c r="C6" s="52" t="s">
        <v>96</v>
      </c>
      <c r="D6" s="52" t="s">
        <v>97</v>
      </c>
      <c r="E6" s="52" t="s">
        <v>98</v>
      </c>
      <c r="F6" s="52" t="s">
        <v>81</v>
      </c>
      <c r="G6" s="51" t="s">
        <v>82</v>
      </c>
      <c r="H6" s="52">
        <v>0</v>
      </c>
      <c r="I6" s="52">
        <v>0</v>
      </c>
      <c r="J6" s="52" t="s">
        <v>83</v>
      </c>
      <c r="K6" s="52" t="s">
        <v>84</v>
      </c>
      <c r="L6" s="52" t="s">
        <v>99</v>
      </c>
      <c r="M6" s="52"/>
      <c r="N6" s="53"/>
      <c r="O6" s="82"/>
    </row>
    <row r="7" spans="1:15" ht="14.5" hidden="1" customHeight="1" x14ac:dyDescent="0.35">
      <c r="A7" s="51" t="s">
        <v>100</v>
      </c>
      <c r="B7" s="51" t="s">
        <v>78</v>
      </c>
      <c r="C7" s="51" t="s">
        <v>101</v>
      </c>
      <c r="D7" s="51" t="s">
        <v>102</v>
      </c>
      <c r="E7" s="51" t="s">
        <v>98</v>
      </c>
      <c r="F7" s="51" t="s">
        <v>81</v>
      </c>
      <c r="G7" s="51" t="s">
        <v>82</v>
      </c>
      <c r="H7" s="51">
        <v>0</v>
      </c>
      <c r="I7" s="51">
        <v>0</v>
      </c>
      <c r="J7" s="51" t="s">
        <v>83</v>
      </c>
      <c r="K7" s="51" t="s">
        <v>103</v>
      </c>
      <c r="L7" s="51" t="s">
        <v>104</v>
      </c>
      <c r="M7" s="51"/>
      <c r="N7" s="50"/>
      <c r="O7" s="82"/>
    </row>
    <row r="8" spans="1:15" ht="14.5" hidden="1" customHeight="1" x14ac:dyDescent="0.35">
      <c r="A8" s="52" t="s">
        <v>105</v>
      </c>
      <c r="B8" s="52" t="s">
        <v>78</v>
      </c>
      <c r="C8" s="52" t="s">
        <v>106</v>
      </c>
      <c r="D8" s="52" t="s">
        <v>107</v>
      </c>
      <c r="E8" s="52" t="s">
        <v>80</v>
      </c>
      <c r="F8" s="52" t="s">
        <v>81</v>
      </c>
      <c r="G8" s="51" t="s">
        <v>82</v>
      </c>
      <c r="H8" s="52">
        <v>10</v>
      </c>
      <c r="I8" s="52">
        <v>3</v>
      </c>
      <c r="J8" s="52" t="s">
        <v>83</v>
      </c>
      <c r="K8" s="52" t="s">
        <v>108</v>
      </c>
      <c r="L8" s="52" t="s">
        <v>109</v>
      </c>
      <c r="M8" s="85" t="s">
        <v>86</v>
      </c>
      <c r="N8" s="53" t="s">
        <v>87</v>
      </c>
      <c r="O8" s="82"/>
    </row>
    <row r="9" spans="1:15" ht="14.5" hidden="1" customHeight="1" x14ac:dyDescent="0.35">
      <c r="A9" s="51" t="s">
        <v>110</v>
      </c>
      <c r="B9" s="51" t="s">
        <v>78</v>
      </c>
      <c r="C9" s="51" t="s">
        <v>111</v>
      </c>
      <c r="D9" s="51" t="s">
        <v>107</v>
      </c>
      <c r="E9" s="51" t="s">
        <v>80</v>
      </c>
      <c r="F9" s="51" t="s">
        <v>81</v>
      </c>
      <c r="G9" s="51" t="s">
        <v>82</v>
      </c>
      <c r="H9" s="51">
        <v>10</v>
      </c>
      <c r="I9" s="51">
        <v>6</v>
      </c>
      <c r="J9" s="51" t="s">
        <v>83</v>
      </c>
      <c r="K9" s="51" t="s">
        <v>112</v>
      </c>
      <c r="L9" s="51" t="s">
        <v>113</v>
      </c>
      <c r="M9" s="62" t="s">
        <v>86</v>
      </c>
      <c r="N9" s="50" t="s">
        <v>87</v>
      </c>
      <c r="O9" s="82"/>
    </row>
    <row r="10" spans="1:15" ht="14.5" hidden="1" customHeight="1" x14ac:dyDescent="0.35">
      <c r="A10" s="52" t="s">
        <v>114</v>
      </c>
      <c r="B10" s="52" t="s">
        <v>115</v>
      </c>
      <c r="C10" s="52" t="s">
        <v>25</v>
      </c>
      <c r="D10" s="52" t="s">
        <v>116</v>
      </c>
      <c r="E10" s="52" t="s">
        <v>80</v>
      </c>
      <c r="F10" s="52" t="s">
        <v>81</v>
      </c>
      <c r="G10" s="52" t="s">
        <v>82</v>
      </c>
      <c r="H10" s="52">
        <v>10</v>
      </c>
      <c r="I10" s="52">
        <v>6</v>
      </c>
      <c r="J10" s="52" t="s">
        <v>83</v>
      </c>
      <c r="K10" s="52" t="s">
        <v>84</v>
      </c>
      <c r="L10" s="52" t="s">
        <v>117</v>
      </c>
      <c r="M10" s="85" t="s">
        <v>86</v>
      </c>
      <c r="N10" s="53" t="s">
        <v>87</v>
      </c>
      <c r="O10" s="82"/>
    </row>
    <row r="11" spans="1:15" ht="14.5" hidden="1" customHeight="1" x14ac:dyDescent="0.35">
      <c r="A11" s="51" t="s">
        <v>118</v>
      </c>
      <c r="B11" s="51" t="s">
        <v>115</v>
      </c>
      <c r="C11" s="51" t="s">
        <v>29</v>
      </c>
      <c r="D11" s="51" t="s">
        <v>119</v>
      </c>
      <c r="E11" s="51" t="s">
        <v>80</v>
      </c>
      <c r="F11" s="51" t="s">
        <v>81</v>
      </c>
      <c r="G11" s="51" t="s">
        <v>82</v>
      </c>
      <c r="H11" s="51">
        <v>10</v>
      </c>
      <c r="I11" s="51">
        <v>24</v>
      </c>
      <c r="J11" s="51" t="s">
        <v>83</v>
      </c>
      <c r="K11" s="51" t="s">
        <v>120</v>
      </c>
      <c r="L11" s="51" t="s">
        <v>91</v>
      </c>
      <c r="M11" s="62" t="s">
        <v>86</v>
      </c>
      <c r="N11" s="50" t="s">
        <v>87</v>
      </c>
      <c r="O11" s="82"/>
    </row>
    <row r="12" spans="1:15" ht="14.5" hidden="1" customHeight="1" x14ac:dyDescent="0.35">
      <c r="A12" s="52" t="s">
        <v>121</v>
      </c>
      <c r="B12" s="52" t="s">
        <v>115</v>
      </c>
      <c r="C12" s="52" t="s">
        <v>29</v>
      </c>
      <c r="D12" s="52" t="s">
        <v>122</v>
      </c>
      <c r="E12" s="52" t="s">
        <v>80</v>
      </c>
      <c r="F12" s="52" t="s">
        <v>81</v>
      </c>
      <c r="G12" s="52" t="s">
        <v>82</v>
      </c>
      <c r="H12" s="52">
        <v>12</v>
      </c>
      <c r="I12" s="52">
        <v>2</v>
      </c>
      <c r="J12" s="52" t="s">
        <v>83</v>
      </c>
      <c r="K12" s="52" t="s">
        <v>103</v>
      </c>
      <c r="L12" s="52" t="s">
        <v>123</v>
      </c>
      <c r="M12" s="85" t="s">
        <v>86</v>
      </c>
      <c r="N12" s="53" t="s">
        <v>87</v>
      </c>
      <c r="O12" s="82"/>
    </row>
    <row r="13" spans="1:15" ht="14.5" hidden="1" customHeight="1" x14ac:dyDescent="0.35">
      <c r="A13" s="51" t="s">
        <v>124</v>
      </c>
      <c r="B13" s="51" t="s">
        <v>115</v>
      </c>
      <c r="C13" s="51" t="s">
        <v>25</v>
      </c>
      <c r="D13" s="51" t="s">
        <v>125</v>
      </c>
      <c r="E13" s="51" t="s">
        <v>80</v>
      </c>
      <c r="F13" s="51" t="s">
        <v>81</v>
      </c>
      <c r="G13" s="51" t="s">
        <v>82</v>
      </c>
      <c r="H13" s="51">
        <v>12</v>
      </c>
      <c r="I13" s="51">
        <v>2</v>
      </c>
      <c r="J13" s="51" t="s">
        <v>83</v>
      </c>
      <c r="K13" s="51" t="s">
        <v>108</v>
      </c>
      <c r="L13" s="51" t="s">
        <v>126</v>
      </c>
      <c r="M13" s="62" t="s">
        <v>86</v>
      </c>
      <c r="N13" s="50" t="s">
        <v>87</v>
      </c>
      <c r="O13" s="82"/>
    </row>
    <row r="14" spans="1:15" ht="14.5" hidden="1" customHeight="1" x14ac:dyDescent="0.35">
      <c r="A14" s="52" t="s">
        <v>127</v>
      </c>
      <c r="B14" s="52" t="s">
        <v>115</v>
      </c>
      <c r="C14" s="52" t="s">
        <v>25</v>
      </c>
      <c r="D14" s="52" t="s">
        <v>128</v>
      </c>
      <c r="E14" s="52" t="s">
        <v>80</v>
      </c>
      <c r="F14" s="52" t="s">
        <v>81</v>
      </c>
      <c r="G14" s="52" t="s">
        <v>82</v>
      </c>
      <c r="H14" s="52">
        <v>12</v>
      </c>
      <c r="I14" s="52">
        <v>2</v>
      </c>
      <c r="J14" s="52" t="s">
        <v>83</v>
      </c>
      <c r="K14" s="52" t="s">
        <v>112</v>
      </c>
      <c r="L14" s="52" t="s">
        <v>129</v>
      </c>
      <c r="M14" s="85" t="s">
        <v>86</v>
      </c>
      <c r="N14" s="53" t="s">
        <v>87</v>
      </c>
      <c r="O14" s="82"/>
    </row>
    <row r="15" spans="1:15" ht="14.5" hidden="1" customHeight="1" x14ac:dyDescent="0.35">
      <c r="A15" s="52" t="s">
        <v>130</v>
      </c>
      <c r="B15" s="61" t="s">
        <v>115</v>
      </c>
      <c r="C15" s="61" t="s">
        <v>131</v>
      </c>
      <c r="D15" s="61" t="s">
        <v>132</v>
      </c>
      <c r="E15" s="51" t="s">
        <v>133</v>
      </c>
      <c r="F15" s="51" t="s">
        <v>81</v>
      </c>
      <c r="G15" s="62" t="s">
        <v>82</v>
      </c>
      <c r="H15" s="62"/>
      <c r="I15" s="51"/>
      <c r="J15" s="51" t="s">
        <v>83</v>
      </c>
      <c r="K15" s="51"/>
      <c r="L15" s="51"/>
      <c r="M15" s="51"/>
      <c r="N15" s="50"/>
      <c r="O15" s="82"/>
    </row>
    <row r="16" spans="1:15" ht="14.5" hidden="1" customHeight="1" x14ac:dyDescent="0.35">
      <c r="A16" s="52" t="s">
        <v>134</v>
      </c>
      <c r="B16" s="61" t="s">
        <v>115</v>
      </c>
      <c r="C16" s="61" t="s">
        <v>33</v>
      </c>
      <c r="D16" s="61" t="s">
        <v>135</v>
      </c>
      <c r="E16" s="51" t="s">
        <v>133</v>
      </c>
      <c r="F16" s="51" t="s">
        <v>81</v>
      </c>
      <c r="G16" s="62" t="s">
        <v>82</v>
      </c>
      <c r="H16" s="62"/>
      <c r="I16" s="51"/>
      <c r="J16" s="51"/>
      <c r="K16" s="51"/>
      <c r="L16" s="51"/>
      <c r="M16" s="51"/>
      <c r="N16" s="50"/>
      <c r="O16" s="82"/>
    </row>
    <row r="17" spans="1:15" ht="14.5" hidden="1" customHeight="1" x14ac:dyDescent="0.35">
      <c r="A17" s="54" t="s">
        <v>77</v>
      </c>
      <c r="B17" s="55" t="s">
        <v>78</v>
      </c>
      <c r="C17" s="55" t="s">
        <v>36</v>
      </c>
      <c r="D17" s="55" t="s">
        <v>79</v>
      </c>
      <c r="E17" s="52" t="s">
        <v>80</v>
      </c>
      <c r="F17" s="52" t="s">
        <v>136</v>
      </c>
      <c r="G17" s="52" t="s">
        <v>137</v>
      </c>
      <c r="H17" s="52">
        <v>8</v>
      </c>
      <c r="I17" s="52">
        <v>1</v>
      </c>
      <c r="J17" s="52" t="s">
        <v>83</v>
      </c>
      <c r="K17" s="52" t="s">
        <v>90</v>
      </c>
      <c r="L17" s="52" t="s">
        <v>138</v>
      </c>
      <c r="M17" s="52" t="s">
        <v>86</v>
      </c>
      <c r="N17" s="53" t="s">
        <v>87</v>
      </c>
      <c r="O17" s="82"/>
    </row>
    <row r="18" spans="1:15" ht="14.5" hidden="1" customHeight="1" x14ac:dyDescent="0.35">
      <c r="A18" s="51" t="s">
        <v>88</v>
      </c>
      <c r="B18" s="51" t="s">
        <v>78</v>
      </c>
      <c r="C18" s="51" t="s">
        <v>38</v>
      </c>
      <c r="D18" s="51" t="s">
        <v>89</v>
      </c>
      <c r="E18" s="51" t="s">
        <v>80</v>
      </c>
      <c r="F18" s="51" t="s">
        <v>136</v>
      </c>
      <c r="G18" s="51" t="s">
        <v>137</v>
      </c>
      <c r="H18" s="52">
        <v>8</v>
      </c>
      <c r="I18" s="51">
        <v>1</v>
      </c>
      <c r="J18" s="51" t="s">
        <v>83</v>
      </c>
      <c r="K18" s="51" t="s">
        <v>103</v>
      </c>
      <c r="L18" s="51" t="s">
        <v>139</v>
      </c>
      <c r="M18" s="51" t="s">
        <v>86</v>
      </c>
      <c r="N18" s="50" t="s">
        <v>87</v>
      </c>
      <c r="O18" s="82"/>
    </row>
    <row r="19" spans="1:15" ht="14.5" hidden="1" customHeight="1" x14ac:dyDescent="0.35">
      <c r="A19" s="51" t="s">
        <v>92</v>
      </c>
      <c r="B19" s="51" t="s">
        <v>78</v>
      </c>
      <c r="C19" s="51" t="s">
        <v>93</v>
      </c>
      <c r="D19" s="51" t="s">
        <v>97</v>
      </c>
      <c r="E19" s="52" t="s">
        <v>80</v>
      </c>
      <c r="F19" s="52" t="s">
        <v>136</v>
      </c>
      <c r="G19" s="52" t="s">
        <v>137</v>
      </c>
      <c r="H19" s="52">
        <v>8</v>
      </c>
      <c r="I19" s="52">
        <v>1</v>
      </c>
      <c r="J19" s="52" t="s">
        <v>83</v>
      </c>
      <c r="K19" s="52" t="s">
        <v>108</v>
      </c>
      <c r="L19" s="52" t="s">
        <v>126</v>
      </c>
      <c r="M19" s="52" t="s">
        <v>86</v>
      </c>
      <c r="N19" s="53" t="s">
        <v>140</v>
      </c>
      <c r="O19" s="82"/>
    </row>
    <row r="20" spans="1:15" ht="14.5" hidden="1" customHeight="1" x14ac:dyDescent="0.35">
      <c r="A20" s="56" t="s">
        <v>95</v>
      </c>
      <c r="B20" s="56" t="s">
        <v>78</v>
      </c>
      <c r="C20" s="56" t="s">
        <v>96</v>
      </c>
      <c r="D20" s="56" t="s">
        <v>97</v>
      </c>
      <c r="E20" s="51" t="s">
        <v>80</v>
      </c>
      <c r="F20" s="51" t="s">
        <v>136</v>
      </c>
      <c r="G20" s="51" t="s">
        <v>137</v>
      </c>
      <c r="H20" s="52">
        <v>8</v>
      </c>
      <c r="I20" s="51">
        <v>1</v>
      </c>
      <c r="J20" s="51" t="s">
        <v>83</v>
      </c>
      <c r="K20" s="51" t="s">
        <v>112</v>
      </c>
      <c r="L20" s="51" t="s">
        <v>129</v>
      </c>
      <c r="M20" s="51" t="s">
        <v>86</v>
      </c>
      <c r="N20" s="50" t="s">
        <v>140</v>
      </c>
      <c r="O20" s="82"/>
    </row>
    <row r="21" spans="1:15" ht="14.5" hidden="1" customHeight="1" x14ac:dyDescent="0.35">
      <c r="A21" s="51" t="s">
        <v>100</v>
      </c>
      <c r="B21" s="51" t="s">
        <v>78</v>
      </c>
      <c r="C21" s="51" t="s">
        <v>101</v>
      </c>
      <c r="D21" s="51" t="s">
        <v>102</v>
      </c>
      <c r="E21" s="51" t="s">
        <v>80</v>
      </c>
      <c r="F21" s="51" t="s">
        <v>136</v>
      </c>
      <c r="G21" s="52" t="s">
        <v>137</v>
      </c>
      <c r="H21" s="52">
        <v>8</v>
      </c>
      <c r="I21" s="51">
        <v>0</v>
      </c>
      <c r="J21" s="51" t="s">
        <v>83</v>
      </c>
      <c r="K21" s="51" t="s">
        <v>141</v>
      </c>
      <c r="L21" s="51" t="s">
        <v>142</v>
      </c>
      <c r="M21" s="51" t="s">
        <v>86</v>
      </c>
      <c r="N21" s="50" t="s">
        <v>140</v>
      </c>
      <c r="O21" s="82"/>
    </row>
    <row r="22" spans="1:15" ht="14.5" hidden="1" customHeight="1" x14ac:dyDescent="0.35">
      <c r="A22" s="56" t="s">
        <v>105</v>
      </c>
      <c r="B22" s="56" t="s">
        <v>78</v>
      </c>
      <c r="C22" s="56" t="s">
        <v>106</v>
      </c>
      <c r="D22" s="56" t="s">
        <v>107</v>
      </c>
      <c r="E22" s="51" t="s">
        <v>80</v>
      </c>
      <c r="F22" s="51" t="s">
        <v>136</v>
      </c>
      <c r="G22" s="51" t="s">
        <v>137</v>
      </c>
      <c r="H22" s="52">
        <v>8</v>
      </c>
      <c r="I22" s="51">
        <v>3</v>
      </c>
      <c r="J22" s="51" t="s">
        <v>83</v>
      </c>
      <c r="K22" s="51" t="s">
        <v>143</v>
      </c>
      <c r="L22" s="51" t="s">
        <v>144</v>
      </c>
      <c r="M22" s="51" t="s">
        <v>86</v>
      </c>
      <c r="N22" s="50" t="s">
        <v>140</v>
      </c>
      <c r="O22" s="82"/>
    </row>
    <row r="23" spans="1:15" ht="14.5" hidden="1" customHeight="1" x14ac:dyDescent="0.35">
      <c r="A23" s="51" t="s">
        <v>110</v>
      </c>
      <c r="B23" s="51" t="s">
        <v>78</v>
      </c>
      <c r="C23" s="51" t="s">
        <v>111</v>
      </c>
      <c r="D23" s="51" t="s">
        <v>107</v>
      </c>
      <c r="E23" s="51" t="s">
        <v>80</v>
      </c>
      <c r="F23" s="51" t="s">
        <v>136</v>
      </c>
      <c r="G23" s="52" t="s">
        <v>137</v>
      </c>
      <c r="H23" s="52">
        <v>8</v>
      </c>
      <c r="I23" s="51">
        <v>5</v>
      </c>
      <c r="J23" s="51" t="s">
        <v>83</v>
      </c>
      <c r="K23" s="51" t="s">
        <v>145</v>
      </c>
      <c r="L23" s="51" t="s">
        <v>146</v>
      </c>
      <c r="M23" s="51" t="s">
        <v>86</v>
      </c>
      <c r="N23" s="50" t="s">
        <v>140</v>
      </c>
      <c r="O23" s="82" t="s">
        <v>147</v>
      </c>
    </row>
    <row r="24" spans="1:15" ht="14.5" hidden="1" customHeight="1" x14ac:dyDescent="0.35">
      <c r="A24" s="56" t="s">
        <v>114</v>
      </c>
      <c r="B24" s="56" t="s">
        <v>115</v>
      </c>
      <c r="C24" s="56" t="s">
        <v>25</v>
      </c>
      <c r="D24" s="56" t="s">
        <v>116</v>
      </c>
      <c r="E24" s="51" t="s">
        <v>80</v>
      </c>
      <c r="F24" s="51" t="s">
        <v>136</v>
      </c>
      <c r="G24" s="51" t="s">
        <v>137</v>
      </c>
      <c r="H24" s="52">
        <v>8</v>
      </c>
      <c r="I24" s="51">
        <v>15</v>
      </c>
      <c r="J24" s="51" t="s">
        <v>83</v>
      </c>
      <c r="K24" s="51" t="s">
        <v>148</v>
      </c>
      <c r="L24" s="51" t="s">
        <v>149</v>
      </c>
      <c r="M24" s="51" t="s">
        <v>86</v>
      </c>
      <c r="N24" s="50" t="s">
        <v>140</v>
      </c>
      <c r="O24" s="82"/>
    </row>
    <row r="25" spans="1:15" ht="14.5" hidden="1" customHeight="1" x14ac:dyDescent="0.35">
      <c r="A25" s="51" t="s">
        <v>118</v>
      </c>
      <c r="B25" s="51" t="s">
        <v>115</v>
      </c>
      <c r="C25" s="51" t="s">
        <v>29</v>
      </c>
      <c r="D25" s="51" t="s">
        <v>119</v>
      </c>
      <c r="E25" s="51" t="s">
        <v>80</v>
      </c>
      <c r="F25" s="51" t="s">
        <v>136</v>
      </c>
      <c r="G25" s="52" t="s">
        <v>137</v>
      </c>
      <c r="H25" s="52">
        <v>7</v>
      </c>
      <c r="I25" s="51">
        <v>39</v>
      </c>
      <c r="J25" s="51" t="s">
        <v>83</v>
      </c>
      <c r="K25" s="51" t="s">
        <v>150</v>
      </c>
      <c r="L25" s="51" t="s">
        <v>151</v>
      </c>
      <c r="M25" s="51" t="s">
        <v>86</v>
      </c>
      <c r="N25" s="50" t="s">
        <v>140</v>
      </c>
      <c r="O25" s="82"/>
    </row>
    <row r="26" spans="1:15" ht="14.5" hidden="1" customHeight="1" x14ac:dyDescent="0.35">
      <c r="A26" s="56" t="s">
        <v>121</v>
      </c>
      <c r="B26" s="56" t="s">
        <v>115</v>
      </c>
      <c r="C26" s="56" t="s">
        <v>29</v>
      </c>
      <c r="D26" s="56" t="s">
        <v>122</v>
      </c>
      <c r="E26" s="51" t="s">
        <v>80</v>
      </c>
      <c r="F26" s="51" t="s">
        <v>136</v>
      </c>
      <c r="G26" s="51" t="s">
        <v>137</v>
      </c>
      <c r="H26" s="52">
        <v>7</v>
      </c>
      <c r="I26" s="51">
        <v>7</v>
      </c>
      <c r="J26" s="51" t="s">
        <v>83</v>
      </c>
      <c r="K26" s="51" t="s">
        <v>152</v>
      </c>
      <c r="L26" s="51" t="s">
        <v>153</v>
      </c>
      <c r="M26" s="51" t="s">
        <v>86</v>
      </c>
      <c r="N26" s="50" t="s">
        <v>140</v>
      </c>
      <c r="O26" s="82"/>
    </row>
    <row r="27" spans="1:15" ht="14.5" hidden="1" customHeight="1" x14ac:dyDescent="0.35">
      <c r="A27" s="51" t="s">
        <v>124</v>
      </c>
      <c r="B27" s="51" t="s">
        <v>115</v>
      </c>
      <c r="C27" s="51" t="s">
        <v>25</v>
      </c>
      <c r="D27" s="51" t="s">
        <v>125</v>
      </c>
      <c r="E27" s="51" t="s">
        <v>80</v>
      </c>
      <c r="F27" s="51" t="s">
        <v>136</v>
      </c>
      <c r="G27" s="52" t="s">
        <v>137</v>
      </c>
      <c r="H27" s="51">
        <v>7</v>
      </c>
      <c r="I27" s="51">
        <v>8</v>
      </c>
      <c r="J27" s="51" t="s">
        <v>83</v>
      </c>
      <c r="K27" s="51" t="s">
        <v>154</v>
      </c>
      <c r="L27" s="51" t="s">
        <v>155</v>
      </c>
      <c r="M27" s="51" t="s">
        <v>86</v>
      </c>
      <c r="N27" s="50" t="s">
        <v>140</v>
      </c>
      <c r="O27" s="82"/>
    </row>
    <row r="28" spans="1:15" ht="14.5" hidden="1" customHeight="1" x14ac:dyDescent="0.35">
      <c r="A28" s="56" t="s">
        <v>127</v>
      </c>
      <c r="B28" s="56" t="s">
        <v>115</v>
      </c>
      <c r="C28" s="56" t="s">
        <v>25</v>
      </c>
      <c r="D28" s="56" t="s">
        <v>128</v>
      </c>
      <c r="E28" s="51" t="s">
        <v>80</v>
      </c>
      <c r="F28" s="51" t="s">
        <v>136</v>
      </c>
      <c r="G28" s="51" t="s">
        <v>137</v>
      </c>
      <c r="H28" s="51">
        <v>7</v>
      </c>
      <c r="I28" s="51">
        <v>22</v>
      </c>
      <c r="J28" s="51" t="s">
        <v>83</v>
      </c>
      <c r="K28" s="51" t="s">
        <v>156</v>
      </c>
      <c r="L28" s="51" t="s">
        <v>157</v>
      </c>
      <c r="M28" s="51" t="s">
        <v>86</v>
      </c>
      <c r="N28" s="50" t="s">
        <v>140</v>
      </c>
      <c r="O28" s="82"/>
    </row>
    <row r="29" spans="1:15" ht="14.5" hidden="1" customHeight="1" x14ac:dyDescent="0.35">
      <c r="A29" s="56" t="s">
        <v>130</v>
      </c>
      <c r="B29" s="61" t="s">
        <v>115</v>
      </c>
      <c r="C29" s="61" t="s">
        <v>131</v>
      </c>
      <c r="D29" s="61" t="s">
        <v>132</v>
      </c>
      <c r="E29" s="51" t="s">
        <v>133</v>
      </c>
      <c r="F29" s="51" t="s">
        <v>136</v>
      </c>
      <c r="G29" s="62" t="s">
        <v>158</v>
      </c>
      <c r="H29" s="62">
        <v>4</v>
      </c>
      <c r="I29" s="51">
        <v>9</v>
      </c>
      <c r="J29" s="51" t="s">
        <v>159</v>
      </c>
      <c r="K29" s="51"/>
      <c r="L29" s="51" t="s">
        <v>160</v>
      </c>
      <c r="M29" s="51" t="s">
        <v>86</v>
      </c>
      <c r="N29" s="50" t="s">
        <v>140</v>
      </c>
      <c r="O29" s="82" t="s">
        <v>161</v>
      </c>
    </row>
    <row r="30" spans="1:15" ht="14.5" hidden="1" customHeight="1" x14ac:dyDescent="0.35">
      <c r="A30" s="56" t="s">
        <v>134</v>
      </c>
      <c r="B30" s="61" t="s">
        <v>115</v>
      </c>
      <c r="C30" s="61" t="s">
        <v>33</v>
      </c>
      <c r="D30" s="61" t="s">
        <v>135</v>
      </c>
      <c r="E30" s="51" t="s">
        <v>133</v>
      </c>
      <c r="F30" s="51" t="s">
        <v>136</v>
      </c>
      <c r="G30" s="62" t="s">
        <v>158</v>
      </c>
      <c r="H30" s="62">
        <v>4</v>
      </c>
      <c r="I30" s="51">
        <v>19</v>
      </c>
      <c r="J30" s="51" t="s">
        <v>159</v>
      </c>
      <c r="K30" s="51"/>
      <c r="L30" s="51" t="s">
        <v>160</v>
      </c>
      <c r="M30" s="51" t="s">
        <v>86</v>
      </c>
      <c r="N30" s="50" t="s">
        <v>140</v>
      </c>
      <c r="O30" s="82" t="s">
        <v>162</v>
      </c>
    </row>
    <row r="31" spans="1:15" ht="14.5" customHeight="1" x14ac:dyDescent="0.35">
      <c r="A31" s="61" t="s">
        <v>77</v>
      </c>
      <c r="B31" s="61" t="s">
        <v>78</v>
      </c>
      <c r="C31" s="61" t="s">
        <v>36</v>
      </c>
      <c r="D31" s="61" t="s">
        <v>79</v>
      </c>
      <c r="E31" s="51" t="s">
        <v>80</v>
      </c>
      <c r="F31" s="51" t="s">
        <v>163</v>
      </c>
      <c r="G31" s="62" t="s">
        <v>164</v>
      </c>
      <c r="H31" s="63">
        <v>7.9000000000000001E-2</v>
      </c>
      <c r="I31" s="51">
        <v>1</v>
      </c>
      <c r="J31" s="51" t="s">
        <v>83</v>
      </c>
      <c r="K31" s="51" t="s">
        <v>165</v>
      </c>
      <c r="L31" s="51" t="s">
        <v>166</v>
      </c>
      <c r="M31" s="51" t="s">
        <v>86</v>
      </c>
      <c r="N31" s="50" t="s">
        <v>140</v>
      </c>
      <c r="O31" s="82"/>
    </row>
    <row r="32" spans="1:15" ht="14.5" customHeight="1" x14ac:dyDescent="0.35">
      <c r="A32" s="61" t="s">
        <v>88</v>
      </c>
      <c r="B32" s="61" t="s">
        <v>78</v>
      </c>
      <c r="C32" s="61" t="s">
        <v>38</v>
      </c>
      <c r="D32" s="61" t="s">
        <v>89</v>
      </c>
      <c r="E32" s="51" t="s">
        <v>133</v>
      </c>
      <c r="F32" s="51" t="s">
        <v>163</v>
      </c>
      <c r="G32" s="62" t="s">
        <v>164</v>
      </c>
      <c r="H32" s="63">
        <v>7.9000000000000001E-2</v>
      </c>
      <c r="I32" s="51">
        <v>1</v>
      </c>
      <c r="J32" s="51" t="s">
        <v>83</v>
      </c>
      <c r="K32" s="51" t="s">
        <v>165</v>
      </c>
      <c r="L32" s="51" t="s">
        <v>166</v>
      </c>
      <c r="M32" s="51" t="s">
        <v>86</v>
      </c>
      <c r="N32" s="50" t="s">
        <v>140</v>
      </c>
      <c r="O32" s="82"/>
    </row>
    <row r="33" spans="1:15" x14ac:dyDescent="0.35">
      <c r="A33" s="61" t="s">
        <v>92</v>
      </c>
      <c r="B33" s="61" t="s">
        <v>78</v>
      </c>
      <c r="C33" s="61" t="s">
        <v>93</v>
      </c>
      <c r="D33" s="61" t="s">
        <v>89</v>
      </c>
      <c r="E33" s="51" t="s">
        <v>133</v>
      </c>
      <c r="F33" s="51" t="s">
        <v>163</v>
      </c>
      <c r="G33" s="62" t="s">
        <v>164</v>
      </c>
      <c r="H33" s="63">
        <v>0.08</v>
      </c>
      <c r="I33" s="51">
        <v>1</v>
      </c>
      <c r="J33" s="51" t="s">
        <v>83</v>
      </c>
      <c r="K33" s="51" t="s">
        <v>167</v>
      </c>
      <c r="L33" s="51" t="s">
        <v>166</v>
      </c>
      <c r="M33" s="51" t="s">
        <v>86</v>
      </c>
      <c r="N33" s="50" t="s">
        <v>140</v>
      </c>
      <c r="O33" s="82"/>
    </row>
    <row r="34" spans="1:15" x14ac:dyDescent="0.35">
      <c r="A34" s="61" t="s">
        <v>95</v>
      </c>
      <c r="B34" s="61" t="s">
        <v>78</v>
      </c>
      <c r="C34" s="61" t="s">
        <v>96</v>
      </c>
      <c r="D34" s="61" t="s">
        <v>168</v>
      </c>
      <c r="E34" s="51" t="s">
        <v>133</v>
      </c>
      <c r="F34" s="51" t="s">
        <v>163</v>
      </c>
      <c r="G34" s="62" t="s">
        <v>164</v>
      </c>
      <c r="H34" s="63">
        <v>0.08</v>
      </c>
      <c r="I34" s="51">
        <v>2</v>
      </c>
      <c r="J34" s="51" t="s">
        <v>83</v>
      </c>
      <c r="K34" s="51" t="s">
        <v>169</v>
      </c>
      <c r="L34" s="51" t="s">
        <v>170</v>
      </c>
      <c r="M34" s="51" t="s">
        <v>86</v>
      </c>
      <c r="N34" s="50" t="s">
        <v>140</v>
      </c>
      <c r="O34" s="82"/>
    </row>
    <row r="35" spans="1:15" x14ac:dyDescent="0.35">
      <c r="A35" s="94" t="s">
        <v>100</v>
      </c>
      <c r="B35" s="94" t="s">
        <v>78</v>
      </c>
      <c r="C35" s="94" t="s">
        <v>101</v>
      </c>
      <c r="D35" s="94" t="s">
        <v>171</v>
      </c>
      <c r="E35" s="95" t="s">
        <v>133</v>
      </c>
      <c r="F35" s="95" t="s">
        <v>163</v>
      </c>
      <c r="G35" s="62" t="s">
        <v>164</v>
      </c>
      <c r="H35" s="63">
        <v>0.08</v>
      </c>
      <c r="I35" s="95">
        <v>1</v>
      </c>
      <c r="J35" s="95" t="s">
        <v>83</v>
      </c>
      <c r="K35" s="95" t="s">
        <v>169</v>
      </c>
      <c r="L35" s="95" t="s">
        <v>170</v>
      </c>
      <c r="M35" s="95" t="s">
        <v>86</v>
      </c>
      <c r="N35" s="50" t="s">
        <v>140</v>
      </c>
      <c r="O35" s="95"/>
    </row>
    <row r="36" spans="1:15" x14ac:dyDescent="0.35">
      <c r="A36" s="61" t="s">
        <v>105</v>
      </c>
      <c r="B36" s="61" t="s">
        <v>78</v>
      </c>
      <c r="C36" s="61" t="s">
        <v>106</v>
      </c>
      <c r="D36" s="61" t="s">
        <v>107</v>
      </c>
      <c r="E36" s="51" t="s">
        <v>133</v>
      </c>
      <c r="F36" s="51" t="s">
        <v>163</v>
      </c>
      <c r="G36" s="62" t="s">
        <v>164</v>
      </c>
      <c r="H36" s="63">
        <v>0.03</v>
      </c>
      <c r="I36" s="51">
        <v>3</v>
      </c>
      <c r="J36" s="51" t="s">
        <v>83</v>
      </c>
      <c r="K36" s="51" t="s">
        <v>169</v>
      </c>
      <c r="L36" s="51" t="s">
        <v>170</v>
      </c>
      <c r="M36" s="51" t="s">
        <v>86</v>
      </c>
      <c r="N36" s="50" t="s">
        <v>140</v>
      </c>
      <c r="O36" s="82"/>
    </row>
    <row r="37" spans="1:15" x14ac:dyDescent="0.35">
      <c r="A37" s="61" t="s">
        <v>110</v>
      </c>
      <c r="B37" s="61" t="s">
        <v>78</v>
      </c>
      <c r="C37" s="61" t="s">
        <v>111</v>
      </c>
      <c r="D37" s="61" t="s">
        <v>107</v>
      </c>
      <c r="E37" s="51" t="s">
        <v>80</v>
      </c>
      <c r="F37" s="51" t="s">
        <v>163</v>
      </c>
      <c r="G37" s="62" t="s">
        <v>164</v>
      </c>
      <c r="H37" s="63">
        <v>0.03</v>
      </c>
      <c r="I37" s="51">
        <v>2</v>
      </c>
      <c r="J37" s="51" t="s">
        <v>83</v>
      </c>
      <c r="K37" s="51" t="s">
        <v>169</v>
      </c>
      <c r="L37" s="51" t="s">
        <v>170</v>
      </c>
      <c r="M37" s="51" t="s">
        <v>86</v>
      </c>
      <c r="N37" s="50" t="s">
        <v>140</v>
      </c>
      <c r="O37" s="82"/>
    </row>
    <row r="38" spans="1:15" x14ac:dyDescent="0.35">
      <c r="A38" s="61" t="s">
        <v>114</v>
      </c>
      <c r="B38" s="61" t="s">
        <v>115</v>
      </c>
      <c r="C38" s="61" t="s">
        <v>25</v>
      </c>
      <c r="D38" s="61" t="s">
        <v>116</v>
      </c>
      <c r="E38" s="51" t="s">
        <v>80</v>
      </c>
      <c r="F38" s="51" t="s">
        <v>163</v>
      </c>
      <c r="G38" s="62" t="s">
        <v>164</v>
      </c>
      <c r="H38" s="63">
        <v>0.03</v>
      </c>
      <c r="I38" s="51">
        <v>31</v>
      </c>
      <c r="J38" s="51" t="s">
        <v>83</v>
      </c>
      <c r="K38" s="51" t="s">
        <v>169</v>
      </c>
      <c r="L38" s="51" t="s">
        <v>170</v>
      </c>
      <c r="M38" s="51" t="s">
        <v>86</v>
      </c>
      <c r="N38" s="50" t="s">
        <v>140</v>
      </c>
      <c r="O38" s="82"/>
    </row>
    <row r="39" spans="1:15" x14ac:dyDescent="0.35">
      <c r="A39" s="61" t="s">
        <v>118</v>
      </c>
      <c r="B39" s="61" t="s">
        <v>115</v>
      </c>
      <c r="C39" s="61" t="s">
        <v>29</v>
      </c>
      <c r="D39" s="61" t="s">
        <v>119</v>
      </c>
      <c r="E39" s="51" t="s">
        <v>80</v>
      </c>
      <c r="F39" s="51" t="s">
        <v>163</v>
      </c>
      <c r="G39" s="62" t="s">
        <v>164</v>
      </c>
      <c r="H39" s="63">
        <v>0.03</v>
      </c>
      <c r="I39" s="51">
        <v>2</v>
      </c>
      <c r="J39" s="51" t="s">
        <v>83</v>
      </c>
      <c r="K39" s="51" t="s">
        <v>169</v>
      </c>
      <c r="L39" s="51" t="s">
        <v>170</v>
      </c>
      <c r="M39" s="51" t="s">
        <v>86</v>
      </c>
      <c r="N39" s="50" t="s">
        <v>140</v>
      </c>
      <c r="O39" s="82"/>
    </row>
    <row r="40" spans="1:15" x14ac:dyDescent="0.35">
      <c r="A40" s="61" t="s">
        <v>121</v>
      </c>
      <c r="B40" s="61" t="s">
        <v>115</v>
      </c>
      <c r="C40" s="61" t="s">
        <v>29</v>
      </c>
      <c r="D40" s="61" t="s">
        <v>122</v>
      </c>
      <c r="E40" s="51" t="s">
        <v>80</v>
      </c>
      <c r="F40" s="51" t="s">
        <v>163</v>
      </c>
      <c r="G40" s="62" t="s">
        <v>164</v>
      </c>
      <c r="H40" s="63">
        <v>0.03</v>
      </c>
      <c r="I40" s="51">
        <v>2</v>
      </c>
      <c r="J40" s="51" t="s">
        <v>83</v>
      </c>
      <c r="K40" s="51" t="s">
        <v>169</v>
      </c>
      <c r="L40" s="51" t="s">
        <v>170</v>
      </c>
      <c r="M40" s="51" t="s">
        <v>86</v>
      </c>
      <c r="N40" s="50" t="s">
        <v>87</v>
      </c>
      <c r="O40" s="82"/>
    </row>
    <row r="41" spans="1:15" x14ac:dyDescent="0.35">
      <c r="A41" s="61" t="s">
        <v>124</v>
      </c>
      <c r="B41" s="61" t="s">
        <v>115</v>
      </c>
      <c r="C41" s="61" t="s">
        <v>25</v>
      </c>
      <c r="D41" s="61" t="s">
        <v>125</v>
      </c>
      <c r="E41" s="51" t="s">
        <v>80</v>
      </c>
      <c r="F41" s="51" t="s">
        <v>163</v>
      </c>
      <c r="G41" s="62" t="s">
        <v>164</v>
      </c>
      <c r="H41" s="63">
        <v>0.03</v>
      </c>
      <c r="I41" s="51">
        <v>2</v>
      </c>
      <c r="J41" s="51" t="s">
        <v>83</v>
      </c>
      <c r="K41" s="51" t="s">
        <v>169</v>
      </c>
      <c r="L41" s="51" t="s">
        <v>170</v>
      </c>
      <c r="M41" s="51" t="s">
        <v>86</v>
      </c>
      <c r="N41" s="50" t="s">
        <v>140</v>
      </c>
      <c r="O41" s="82"/>
    </row>
    <row r="42" spans="1:15" x14ac:dyDescent="0.35">
      <c r="A42" s="61" t="s">
        <v>127</v>
      </c>
      <c r="B42" s="61" t="s">
        <v>115</v>
      </c>
      <c r="C42" s="61" t="s">
        <v>25</v>
      </c>
      <c r="D42" s="61" t="s">
        <v>128</v>
      </c>
      <c r="E42" s="51" t="s">
        <v>80</v>
      </c>
      <c r="F42" s="51" t="s">
        <v>163</v>
      </c>
      <c r="G42" s="62" t="s">
        <v>164</v>
      </c>
      <c r="H42" s="63">
        <v>0.03</v>
      </c>
      <c r="I42" s="51">
        <v>2</v>
      </c>
      <c r="J42" s="51" t="s">
        <v>83</v>
      </c>
      <c r="K42" s="51" t="s">
        <v>169</v>
      </c>
      <c r="L42" s="51" t="s">
        <v>170</v>
      </c>
      <c r="M42" s="51" t="s">
        <v>86</v>
      </c>
      <c r="N42" s="50" t="s">
        <v>140</v>
      </c>
      <c r="O42" s="82"/>
    </row>
    <row r="43" spans="1:15" x14ac:dyDescent="0.35">
      <c r="A43" s="61" t="s">
        <v>130</v>
      </c>
      <c r="B43" s="61" t="s">
        <v>115</v>
      </c>
      <c r="C43" s="61" t="s">
        <v>131</v>
      </c>
      <c r="D43" s="61" t="s">
        <v>132</v>
      </c>
      <c r="E43" s="51" t="s">
        <v>133</v>
      </c>
      <c r="F43" s="51" t="s">
        <v>163</v>
      </c>
      <c r="G43" s="62" t="s">
        <v>164</v>
      </c>
      <c r="H43" s="63">
        <v>0.02</v>
      </c>
      <c r="I43" s="51">
        <v>2</v>
      </c>
      <c r="J43" s="51" t="s">
        <v>172</v>
      </c>
      <c r="K43" s="51"/>
      <c r="L43" s="51" t="s">
        <v>170</v>
      </c>
      <c r="M43" s="51" t="s">
        <v>86</v>
      </c>
      <c r="N43" s="50" t="s">
        <v>140</v>
      </c>
      <c r="O43" s="82"/>
    </row>
    <row r="44" spans="1:15" x14ac:dyDescent="0.35">
      <c r="A44" s="61" t="s">
        <v>134</v>
      </c>
      <c r="B44" s="61" t="s">
        <v>115</v>
      </c>
      <c r="C44" s="61" t="s">
        <v>33</v>
      </c>
      <c r="D44" s="61" t="s">
        <v>135</v>
      </c>
      <c r="E44" s="51" t="s">
        <v>133</v>
      </c>
      <c r="F44" s="51" t="s">
        <v>163</v>
      </c>
      <c r="G44" s="62" t="s">
        <v>164</v>
      </c>
      <c r="H44" s="63">
        <v>0.02</v>
      </c>
      <c r="I44" s="51">
        <v>0</v>
      </c>
      <c r="J44" s="51" t="s">
        <v>172</v>
      </c>
      <c r="K44" s="51"/>
      <c r="L44" s="51" t="s">
        <v>170</v>
      </c>
      <c r="M44" s="51"/>
      <c r="N44" s="50"/>
      <c r="O44" s="82"/>
    </row>
    <row r="45" spans="1:15" x14ac:dyDescent="0.35">
      <c r="A45" s="61" t="s">
        <v>77</v>
      </c>
      <c r="B45" s="61" t="s">
        <v>78</v>
      </c>
      <c r="C45" s="61" t="s">
        <v>36</v>
      </c>
      <c r="D45" s="61" t="s">
        <v>79</v>
      </c>
      <c r="E45" s="51" t="s">
        <v>80</v>
      </c>
      <c r="F45" s="51" t="s">
        <v>163</v>
      </c>
      <c r="G45" s="62" t="s">
        <v>173</v>
      </c>
      <c r="H45" s="63">
        <v>7.9000000000000001E-2</v>
      </c>
      <c r="I45" s="51">
        <v>2</v>
      </c>
      <c r="J45" s="51" t="s">
        <v>83</v>
      </c>
      <c r="K45" s="51" t="s">
        <v>169</v>
      </c>
      <c r="L45" s="51" t="s">
        <v>170</v>
      </c>
      <c r="M45" s="51" t="s">
        <v>86</v>
      </c>
      <c r="N45" s="50" t="s">
        <v>140</v>
      </c>
      <c r="O45" s="82"/>
    </row>
    <row r="46" spans="1:15" x14ac:dyDescent="0.35">
      <c r="A46" s="61" t="s">
        <v>88</v>
      </c>
      <c r="B46" s="61" t="s">
        <v>78</v>
      </c>
      <c r="C46" s="61" t="s">
        <v>38</v>
      </c>
      <c r="D46" s="61" t="s">
        <v>89</v>
      </c>
      <c r="E46" s="51" t="s">
        <v>133</v>
      </c>
      <c r="F46" s="51" t="s">
        <v>163</v>
      </c>
      <c r="G46" s="62" t="s">
        <v>173</v>
      </c>
      <c r="H46" s="63">
        <v>7.9000000000000001E-2</v>
      </c>
      <c r="I46" s="51">
        <v>2</v>
      </c>
      <c r="J46" s="51" t="s">
        <v>83</v>
      </c>
      <c r="K46" s="51" t="s">
        <v>169</v>
      </c>
      <c r="L46" s="51" t="s">
        <v>170</v>
      </c>
      <c r="M46" s="51" t="s">
        <v>86</v>
      </c>
      <c r="N46" s="50" t="s">
        <v>140</v>
      </c>
      <c r="O46" s="82"/>
    </row>
    <row r="47" spans="1:15" x14ac:dyDescent="0.35">
      <c r="A47" s="61" t="s">
        <v>92</v>
      </c>
      <c r="B47" s="61" t="s">
        <v>78</v>
      </c>
      <c r="C47" s="61" t="s">
        <v>93</v>
      </c>
      <c r="D47" s="61" t="s">
        <v>89</v>
      </c>
      <c r="E47" s="51" t="s">
        <v>133</v>
      </c>
      <c r="F47" s="51" t="s">
        <v>163</v>
      </c>
      <c r="G47" s="62" t="s">
        <v>173</v>
      </c>
      <c r="H47" s="63">
        <v>0.08</v>
      </c>
      <c r="I47" s="51">
        <v>2</v>
      </c>
      <c r="J47" s="51" t="s">
        <v>83</v>
      </c>
      <c r="K47" s="51" t="s">
        <v>169</v>
      </c>
      <c r="L47" s="51" t="s">
        <v>170</v>
      </c>
      <c r="M47" s="51" t="s">
        <v>86</v>
      </c>
      <c r="N47" s="50" t="s">
        <v>140</v>
      </c>
      <c r="O47" s="82"/>
    </row>
    <row r="48" spans="1:15" x14ac:dyDescent="0.35">
      <c r="A48" s="94" t="s">
        <v>95</v>
      </c>
      <c r="B48" s="94" t="s">
        <v>78</v>
      </c>
      <c r="C48" s="94" t="s">
        <v>96</v>
      </c>
      <c r="D48" s="94" t="s">
        <v>168</v>
      </c>
      <c r="E48" s="95" t="s">
        <v>133</v>
      </c>
      <c r="F48" s="95" t="s">
        <v>163</v>
      </c>
      <c r="G48" s="62" t="s">
        <v>173</v>
      </c>
      <c r="H48" s="63">
        <v>0.08</v>
      </c>
      <c r="I48" s="95">
        <v>1</v>
      </c>
      <c r="J48" s="95" t="s">
        <v>83</v>
      </c>
      <c r="K48" s="95" t="s">
        <v>169</v>
      </c>
      <c r="L48" s="95" t="s">
        <v>170</v>
      </c>
      <c r="M48" s="95" t="s">
        <v>86</v>
      </c>
      <c r="N48" s="50" t="s">
        <v>140</v>
      </c>
      <c r="O48" s="95"/>
    </row>
    <row r="49" spans="1:15" x14ac:dyDescent="0.35">
      <c r="A49" s="61" t="s">
        <v>100</v>
      </c>
      <c r="B49" s="61" t="s">
        <v>78</v>
      </c>
      <c r="C49" s="61" t="s">
        <v>101</v>
      </c>
      <c r="D49" s="61" t="s">
        <v>102</v>
      </c>
      <c r="E49" s="51" t="s">
        <v>133</v>
      </c>
      <c r="F49" s="51" t="s">
        <v>163</v>
      </c>
      <c r="G49" s="62" t="s">
        <v>173</v>
      </c>
      <c r="H49" s="63">
        <v>0.08</v>
      </c>
      <c r="I49" s="51">
        <v>2</v>
      </c>
      <c r="J49" s="51" t="s">
        <v>83</v>
      </c>
      <c r="K49" s="51" t="s">
        <v>169</v>
      </c>
      <c r="L49" s="51" t="s">
        <v>170</v>
      </c>
      <c r="M49" s="51" t="s">
        <v>86</v>
      </c>
      <c r="N49" s="50" t="s">
        <v>140</v>
      </c>
      <c r="O49" s="82"/>
    </row>
    <row r="50" spans="1:15" x14ac:dyDescent="0.35">
      <c r="A50" s="61" t="s">
        <v>105</v>
      </c>
      <c r="B50" s="61" t="s">
        <v>78</v>
      </c>
      <c r="C50" s="61" t="s">
        <v>106</v>
      </c>
      <c r="D50" s="61" t="s">
        <v>107</v>
      </c>
      <c r="E50" s="51" t="s">
        <v>133</v>
      </c>
      <c r="F50" s="51" t="s">
        <v>163</v>
      </c>
      <c r="G50" s="62" t="s">
        <v>173</v>
      </c>
      <c r="H50" s="63">
        <v>0.03</v>
      </c>
      <c r="I50" s="51">
        <v>2</v>
      </c>
      <c r="J50" s="51" t="s">
        <v>83</v>
      </c>
      <c r="K50" s="51" t="s">
        <v>169</v>
      </c>
      <c r="L50" s="51" t="s">
        <v>170</v>
      </c>
      <c r="M50" s="51" t="s">
        <v>86</v>
      </c>
      <c r="N50" s="50" t="s">
        <v>140</v>
      </c>
      <c r="O50" s="82"/>
    </row>
    <row r="51" spans="1:15" x14ac:dyDescent="0.35">
      <c r="A51" s="61" t="s">
        <v>110</v>
      </c>
      <c r="B51" s="61" t="s">
        <v>78</v>
      </c>
      <c r="C51" s="61" t="s">
        <v>111</v>
      </c>
      <c r="D51" s="61" t="s">
        <v>107</v>
      </c>
      <c r="E51" s="51" t="s">
        <v>80</v>
      </c>
      <c r="F51" s="51" t="s">
        <v>163</v>
      </c>
      <c r="G51" s="62" t="s">
        <v>173</v>
      </c>
      <c r="H51" s="63">
        <v>0.03</v>
      </c>
      <c r="I51" s="51">
        <v>3</v>
      </c>
      <c r="J51" s="51" t="s">
        <v>83</v>
      </c>
      <c r="K51" s="51" t="s">
        <v>169</v>
      </c>
      <c r="L51" s="51" t="s">
        <v>170</v>
      </c>
      <c r="M51" s="51" t="s">
        <v>86</v>
      </c>
      <c r="N51" s="50" t="s">
        <v>140</v>
      </c>
      <c r="O51" s="82"/>
    </row>
    <row r="52" spans="1:15" x14ac:dyDescent="0.35">
      <c r="A52" s="61" t="s">
        <v>114</v>
      </c>
      <c r="B52" s="61" t="s">
        <v>115</v>
      </c>
      <c r="C52" s="61" t="s">
        <v>25</v>
      </c>
      <c r="D52" s="61" t="s">
        <v>116</v>
      </c>
      <c r="E52" s="51" t="s">
        <v>80</v>
      </c>
      <c r="F52" s="51" t="s">
        <v>163</v>
      </c>
      <c r="G52" s="62" t="s">
        <v>173</v>
      </c>
      <c r="H52" s="63">
        <v>0.03</v>
      </c>
      <c r="I52" s="51">
        <v>2</v>
      </c>
      <c r="J52" s="51" t="s">
        <v>83</v>
      </c>
      <c r="K52" s="51" t="s">
        <v>169</v>
      </c>
      <c r="L52" s="51" t="s">
        <v>170</v>
      </c>
      <c r="M52" s="51" t="s">
        <v>86</v>
      </c>
      <c r="N52" s="50" t="s">
        <v>140</v>
      </c>
      <c r="O52" s="82"/>
    </row>
    <row r="53" spans="1:15" x14ac:dyDescent="0.35">
      <c r="A53" s="61" t="s">
        <v>118</v>
      </c>
      <c r="B53" s="61" t="s">
        <v>115</v>
      </c>
      <c r="C53" s="61" t="s">
        <v>29</v>
      </c>
      <c r="D53" s="61" t="s">
        <v>119</v>
      </c>
      <c r="E53" s="51" t="s">
        <v>80</v>
      </c>
      <c r="F53" s="51" t="s">
        <v>163</v>
      </c>
      <c r="G53" s="62" t="s">
        <v>173</v>
      </c>
      <c r="H53" s="63">
        <v>0.03</v>
      </c>
      <c r="I53" s="51">
        <v>2</v>
      </c>
      <c r="J53" s="51" t="s">
        <v>83</v>
      </c>
      <c r="K53" s="51" t="s">
        <v>169</v>
      </c>
      <c r="L53" s="51" t="s">
        <v>170</v>
      </c>
      <c r="M53" s="51" t="s">
        <v>86</v>
      </c>
      <c r="N53" s="50" t="s">
        <v>140</v>
      </c>
      <c r="O53" s="82"/>
    </row>
    <row r="54" spans="1:15" x14ac:dyDescent="0.35">
      <c r="A54" s="61" t="s">
        <v>121</v>
      </c>
      <c r="B54" s="61" t="s">
        <v>115</v>
      </c>
      <c r="C54" s="61" t="s">
        <v>29</v>
      </c>
      <c r="D54" s="61" t="s">
        <v>122</v>
      </c>
      <c r="E54" s="51" t="s">
        <v>80</v>
      </c>
      <c r="F54" s="51" t="s">
        <v>163</v>
      </c>
      <c r="G54" s="62" t="s">
        <v>173</v>
      </c>
      <c r="H54" s="63">
        <v>0.03</v>
      </c>
      <c r="I54" s="51">
        <v>2</v>
      </c>
      <c r="J54" s="51" t="s">
        <v>83</v>
      </c>
      <c r="K54" s="51" t="s">
        <v>169</v>
      </c>
      <c r="L54" s="51" t="s">
        <v>170</v>
      </c>
      <c r="M54" s="51" t="s">
        <v>86</v>
      </c>
      <c r="N54" s="50" t="s">
        <v>140</v>
      </c>
      <c r="O54" s="82"/>
    </row>
    <row r="55" spans="1:15" x14ac:dyDescent="0.35">
      <c r="A55" s="61" t="s">
        <v>124</v>
      </c>
      <c r="B55" s="61" t="s">
        <v>115</v>
      </c>
      <c r="C55" s="61" t="s">
        <v>25</v>
      </c>
      <c r="D55" s="61" t="s">
        <v>125</v>
      </c>
      <c r="E55" s="51" t="s">
        <v>80</v>
      </c>
      <c r="F55" s="51" t="s">
        <v>163</v>
      </c>
      <c r="G55" s="62" t="s">
        <v>173</v>
      </c>
      <c r="H55" s="63">
        <v>0.03</v>
      </c>
      <c r="I55" s="51">
        <v>2</v>
      </c>
      <c r="J55" s="51" t="s">
        <v>83</v>
      </c>
      <c r="K55" s="51" t="s">
        <v>169</v>
      </c>
      <c r="L55" s="51" t="s">
        <v>170</v>
      </c>
      <c r="M55" s="51" t="s">
        <v>86</v>
      </c>
      <c r="N55" s="50" t="s">
        <v>140</v>
      </c>
      <c r="O55" s="82"/>
    </row>
    <row r="56" spans="1:15" x14ac:dyDescent="0.35">
      <c r="A56" s="61" t="s">
        <v>127</v>
      </c>
      <c r="B56" s="61" t="s">
        <v>115</v>
      </c>
      <c r="C56" s="61" t="s">
        <v>25</v>
      </c>
      <c r="D56" s="61" t="s">
        <v>128</v>
      </c>
      <c r="E56" s="51" t="s">
        <v>80</v>
      </c>
      <c r="F56" s="51" t="s">
        <v>163</v>
      </c>
      <c r="G56" s="62" t="s">
        <v>173</v>
      </c>
      <c r="H56" s="63">
        <v>0.03</v>
      </c>
      <c r="I56" s="51">
        <v>2</v>
      </c>
      <c r="J56" s="51" t="s">
        <v>83</v>
      </c>
      <c r="K56" s="51" t="s">
        <v>169</v>
      </c>
      <c r="L56" s="51" t="s">
        <v>170</v>
      </c>
      <c r="M56" s="51" t="s">
        <v>86</v>
      </c>
      <c r="N56" s="50" t="s">
        <v>140</v>
      </c>
      <c r="O56" s="82"/>
    </row>
    <row r="57" spans="1:15" x14ac:dyDescent="0.35">
      <c r="A57" s="61" t="s">
        <v>130</v>
      </c>
      <c r="B57" s="61" t="s">
        <v>115</v>
      </c>
      <c r="C57" s="61" t="s">
        <v>131</v>
      </c>
      <c r="D57" s="61" t="s">
        <v>132</v>
      </c>
      <c r="E57" s="51" t="s">
        <v>133</v>
      </c>
      <c r="F57" s="51" t="s">
        <v>163</v>
      </c>
      <c r="G57" s="62" t="s">
        <v>173</v>
      </c>
      <c r="H57" s="63">
        <v>0.03</v>
      </c>
      <c r="I57" s="51">
        <v>2</v>
      </c>
      <c r="J57" s="51" t="s">
        <v>83</v>
      </c>
      <c r="K57" s="51" t="s">
        <v>169</v>
      </c>
      <c r="L57" s="51" t="s">
        <v>170</v>
      </c>
      <c r="M57" s="51" t="s">
        <v>86</v>
      </c>
      <c r="N57" s="50" t="s">
        <v>140</v>
      </c>
      <c r="O57" s="82"/>
    </row>
    <row r="58" spans="1:15" x14ac:dyDescent="0.35">
      <c r="A58" s="61" t="s">
        <v>134</v>
      </c>
      <c r="B58" s="61" t="s">
        <v>115</v>
      </c>
      <c r="C58" s="61" t="s">
        <v>33</v>
      </c>
      <c r="D58" s="61" t="s">
        <v>135</v>
      </c>
      <c r="E58" s="51" t="s">
        <v>133</v>
      </c>
      <c r="F58" s="51" t="s">
        <v>163</v>
      </c>
      <c r="G58" s="62" t="s">
        <v>173</v>
      </c>
      <c r="H58" s="63">
        <v>0.02</v>
      </c>
      <c r="I58" s="51">
        <v>2</v>
      </c>
      <c r="J58" s="51" t="s">
        <v>174</v>
      </c>
      <c r="K58" s="51" t="s">
        <v>169</v>
      </c>
      <c r="L58" s="51" t="s">
        <v>170</v>
      </c>
      <c r="M58" s="51" t="s">
        <v>86</v>
      </c>
      <c r="N58" s="50" t="s">
        <v>140</v>
      </c>
      <c r="O58" s="82"/>
    </row>
    <row r="59" spans="1:15" hidden="1" x14ac:dyDescent="0.35">
      <c r="A59" s="61"/>
      <c r="B59" s="61"/>
      <c r="C59" s="61"/>
      <c r="D59" s="61"/>
      <c r="E59" s="51"/>
      <c r="F59" s="51"/>
      <c r="G59" s="62"/>
      <c r="H59" s="63"/>
      <c r="I59" s="51"/>
      <c r="J59" s="51"/>
      <c r="K59" s="51"/>
      <c r="L59" s="51"/>
      <c r="M59" s="51"/>
      <c r="N59" s="50"/>
      <c r="O59" s="51"/>
    </row>
    <row r="60" spans="1:15" hidden="1" x14ac:dyDescent="0.35">
      <c r="A60" s="90"/>
      <c r="B60" s="90"/>
      <c r="C60" s="90"/>
      <c r="D60" s="90"/>
      <c r="E60" s="82"/>
      <c r="F60" s="82"/>
      <c r="G60" s="91"/>
      <c r="H60" s="92"/>
      <c r="I60" s="82"/>
      <c r="J60" s="82"/>
      <c r="K60" s="82"/>
      <c r="L60" s="82"/>
      <c r="M60" s="82"/>
      <c r="N60" s="93"/>
      <c r="O60" s="82"/>
    </row>
    <row r="61" spans="1:15" hidden="1" x14ac:dyDescent="0.35">
      <c r="A61" s="90"/>
      <c r="B61" s="90"/>
      <c r="C61" s="90"/>
      <c r="D61" s="90"/>
      <c r="E61" s="82"/>
      <c r="F61" s="82"/>
      <c r="G61" s="91"/>
      <c r="H61" s="92"/>
      <c r="I61" s="82"/>
      <c r="J61" s="82"/>
      <c r="K61" s="82"/>
      <c r="L61" s="82"/>
      <c r="M61" s="82"/>
      <c r="N61" s="93"/>
      <c r="O61" s="82"/>
    </row>
    <row r="62" spans="1:15" hidden="1" x14ac:dyDescent="0.35">
      <c r="A62" s="90"/>
      <c r="B62" s="90"/>
      <c r="C62" s="90"/>
      <c r="D62" s="90"/>
      <c r="E62" s="82"/>
      <c r="F62" s="82"/>
      <c r="G62" s="91"/>
      <c r="H62" s="92"/>
      <c r="I62" s="82"/>
      <c r="J62" s="82"/>
      <c r="K62" s="82"/>
      <c r="L62" s="82"/>
      <c r="M62" s="82"/>
      <c r="N62" s="93"/>
      <c r="O62" s="82"/>
    </row>
    <row r="63" spans="1:15" hidden="1" x14ac:dyDescent="0.35">
      <c r="A63" s="90"/>
      <c r="B63" s="90"/>
      <c r="C63" s="90"/>
      <c r="D63" s="90"/>
      <c r="E63" s="82"/>
      <c r="F63" s="82"/>
      <c r="G63" s="91"/>
      <c r="H63" s="92"/>
      <c r="I63" s="82"/>
      <c r="J63" s="82"/>
      <c r="K63" s="82"/>
      <c r="L63" s="82"/>
      <c r="M63" s="82"/>
      <c r="N63" s="93"/>
      <c r="O63" s="82"/>
    </row>
    <row r="64" spans="1:15" hidden="1" x14ac:dyDescent="0.35">
      <c r="A64" s="90"/>
      <c r="B64" s="90"/>
      <c r="C64" s="90"/>
      <c r="D64" s="90"/>
      <c r="E64" s="82"/>
      <c r="F64" s="82"/>
      <c r="G64" s="91"/>
      <c r="H64" s="92"/>
      <c r="I64" s="82"/>
      <c r="J64" s="82"/>
      <c r="K64" s="82"/>
      <c r="L64" s="82"/>
      <c r="M64" s="82"/>
      <c r="N64" s="93"/>
      <c r="O64" s="82"/>
    </row>
    <row r="65" spans="1:15" hidden="1" x14ac:dyDescent="0.35">
      <c r="A65" s="90"/>
      <c r="B65" s="90"/>
      <c r="C65" s="90"/>
      <c r="D65" s="90"/>
      <c r="E65" s="82"/>
      <c r="F65" s="82"/>
      <c r="G65" s="91"/>
      <c r="H65" s="92"/>
      <c r="I65" s="82"/>
      <c r="J65" s="82"/>
      <c r="K65" s="82"/>
      <c r="L65" s="82"/>
      <c r="M65" s="82"/>
      <c r="N65" s="93"/>
      <c r="O65" s="82"/>
    </row>
    <row r="66" spans="1:15" hidden="1" x14ac:dyDescent="0.35">
      <c r="A66" s="90"/>
      <c r="B66" s="90"/>
      <c r="C66" s="90"/>
      <c r="D66" s="90"/>
      <c r="E66" s="82"/>
      <c r="F66" s="82"/>
      <c r="G66" s="91"/>
      <c r="H66" s="92"/>
      <c r="I66" s="82"/>
      <c r="J66" s="82"/>
      <c r="K66" s="82"/>
      <c r="L66" s="82"/>
      <c r="M66" s="82"/>
      <c r="N66" s="93"/>
      <c r="O66" s="82"/>
    </row>
    <row r="67" spans="1:15" hidden="1" x14ac:dyDescent="0.35">
      <c r="A67" s="90"/>
      <c r="B67" s="90"/>
      <c r="C67" s="90"/>
      <c r="D67" s="90"/>
      <c r="E67" s="82"/>
      <c r="F67" s="82"/>
      <c r="G67" s="91"/>
      <c r="H67" s="92"/>
      <c r="I67" s="82"/>
      <c r="J67" s="82"/>
      <c r="K67" s="82"/>
      <c r="L67" s="82"/>
      <c r="M67" s="82"/>
      <c r="N67" s="93"/>
      <c r="O67" s="82"/>
    </row>
    <row r="68" spans="1:15" hidden="1" x14ac:dyDescent="0.35">
      <c r="A68" s="90"/>
      <c r="B68" s="90"/>
      <c r="C68" s="90"/>
      <c r="D68" s="90"/>
      <c r="E68" s="82"/>
      <c r="F68" s="82"/>
      <c r="G68" s="91"/>
      <c r="H68" s="92"/>
      <c r="I68" s="82"/>
      <c r="J68" s="82"/>
      <c r="K68" s="82"/>
      <c r="L68" s="82"/>
      <c r="M68" s="82"/>
      <c r="N68" s="93"/>
      <c r="O68" s="82"/>
    </row>
    <row r="69" spans="1:15" hidden="1" x14ac:dyDescent="0.35">
      <c r="A69" s="90"/>
      <c r="B69" s="90"/>
      <c r="C69" s="90"/>
      <c r="D69" s="90"/>
      <c r="E69" s="82"/>
      <c r="F69" s="82"/>
      <c r="G69" s="91"/>
      <c r="H69" s="92"/>
      <c r="I69" s="82"/>
      <c r="J69" s="82"/>
      <c r="K69" s="82"/>
      <c r="L69" s="82"/>
      <c r="M69" s="82"/>
      <c r="N69" s="93"/>
      <c r="O69" s="82"/>
    </row>
    <row r="70" spans="1:15" hidden="1" x14ac:dyDescent="0.35">
      <c r="A70" s="90"/>
      <c r="B70" s="90"/>
      <c r="C70" s="90"/>
      <c r="D70" s="90"/>
      <c r="E70" s="82"/>
      <c r="F70" s="82"/>
      <c r="G70" s="91"/>
      <c r="H70" s="92"/>
      <c r="I70" s="82"/>
      <c r="J70" s="82"/>
      <c r="K70" s="82"/>
      <c r="L70" s="82"/>
      <c r="M70" s="82"/>
      <c r="N70" s="93"/>
      <c r="O70" s="82"/>
    </row>
    <row r="71" spans="1:15" hidden="1" x14ac:dyDescent="0.35">
      <c r="A71" s="90"/>
      <c r="B71" s="90"/>
      <c r="C71" s="90"/>
      <c r="D71" s="90"/>
      <c r="E71" s="82"/>
      <c r="F71" s="82"/>
      <c r="G71" s="91"/>
      <c r="H71" s="92"/>
      <c r="I71" s="82"/>
      <c r="J71" s="82"/>
      <c r="K71" s="82"/>
      <c r="L71" s="82"/>
      <c r="M71" s="82"/>
      <c r="N71" s="93"/>
      <c r="O71" s="82"/>
    </row>
    <row r="72" spans="1:15" hidden="1" x14ac:dyDescent="0.35">
      <c r="A72" s="90"/>
      <c r="B72" s="90"/>
      <c r="C72" s="90"/>
      <c r="D72" s="90"/>
      <c r="E72" s="82"/>
      <c r="F72" s="82"/>
      <c r="G72" s="91"/>
      <c r="H72" s="92"/>
      <c r="I72" s="82"/>
      <c r="J72" s="82"/>
      <c r="K72" s="82"/>
      <c r="L72" s="82"/>
      <c r="M72" s="82"/>
      <c r="N72" s="93"/>
      <c r="O72" s="82"/>
    </row>
    <row r="73" spans="1:15" hidden="1" x14ac:dyDescent="0.35">
      <c r="A73" s="90"/>
      <c r="B73" s="90"/>
      <c r="C73" s="90"/>
      <c r="D73" s="90"/>
      <c r="E73" s="82"/>
      <c r="F73" s="82"/>
      <c r="G73" s="91"/>
      <c r="H73" s="92"/>
      <c r="I73" s="82"/>
      <c r="J73" s="82"/>
      <c r="K73" s="82"/>
      <c r="L73" s="82"/>
      <c r="M73" s="82"/>
      <c r="N73" s="93"/>
      <c r="O73" s="82"/>
    </row>
    <row r="74" spans="1:15" hidden="1" x14ac:dyDescent="0.35">
      <c r="A74" s="90"/>
      <c r="B74" s="90"/>
      <c r="C74" s="90"/>
      <c r="D74" s="90"/>
      <c r="E74" s="82"/>
      <c r="F74" s="82"/>
      <c r="G74" s="91"/>
      <c r="H74" s="92"/>
      <c r="I74" s="82"/>
      <c r="J74" s="82"/>
      <c r="K74" s="82"/>
      <c r="L74" s="82"/>
      <c r="M74" s="82"/>
      <c r="N74" s="93"/>
      <c r="O74" s="82"/>
    </row>
    <row r="75" spans="1:15" hidden="1" x14ac:dyDescent="0.35">
      <c r="A75" s="90"/>
      <c r="B75" s="90"/>
      <c r="C75" s="90"/>
      <c r="D75" s="90"/>
      <c r="E75" s="82"/>
      <c r="F75" s="82"/>
      <c r="G75" s="91"/>
      <c r="H75" s="92"/>
      <c r="I75" s="82"/>
      <c r="J75" s="82"/>
      <c r="K75" s="82"/>
      <c r="L75" s="82"/>
      <c r="M75" s="82"/>
      <c r="N75" s="93"/>
      <c r="O75" s="82"/>
    </row>
    <row r="76" spans="1:15" hidden="1" x14ac:dyDescent="0.35">
      <c r="A76" s="90"/>
      <c r="B76" s="90"/>
      <c r="C76" s="90"/>
      <c r="D76" s="90"/>
      <c r="E76" s="82"/>
      <c r="F76" s="82"/>
      <c r="G76" s="91"/>
      <c r="H76" s="92"/>
      <c r="I76" s="82"/>
      <c r="J76" s="82"/>
      <c r="K76" s="82"/>
      <c r="L76" s="82"/>
      <c r="M76" s="82"/>
      <c r="N76" s="93"/>
      <c r="O76" s="82"/>
    </row>
  </sheetData>
  <mergeCells count="1">
    <mergeCell ref="A1:O1"/>
  </mergeCells>
  <pageMargins left="0.75" right="0.75" top="1" bottom="1" header="0.511811023622047" footer="0.511811023622047"/>
  <pageSetup paperSize="9" orientation="portrait" horizontalDpi="300" verticalDpi="300"/>
  <headerFooter>
    <oddFooter>&amp;C_x000D_&amp;1#&amp;"Aptos"&amp;11&amp;K000000 BV_C2_Internal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D32"/>
  </sheetPr>
  <dimension ref="A1:K655"/>
  <sheetViews>
    <sheetView showGridLines="0" zoomScale="80" zoomScaleNormal="80" workbookViewId="0">
      <pane ySplit="2" topLeftCell="A634" activePane="bottomLeft" state="frozen"/>
      <selection activeCell="B1" sqref="B1"/>
      <selection pane="bottomLeft" activeCell="K649" sqref="K649:K655"/>
    </sheetView>
  </sheetViews>
  <sheetFormatPr baseColWidth="10" defaultColWidth="8.54296875" defaultRowHeight="14.5" x14ac:dyDescent="0.35"/>
  <cols>
    <col min="1" max="1" width="18" customWidth="1"/>
    <col min="2" max="2" width="60.81640625" customWidth="1"/>
    <col min="3" max="3" width="15" customWidth="1"/>
    <col min="4" max="4" width="72.26953125" customWidth="1"/>
    <col min="5" max="5" width="30" customWidth="1"/>
    <col min="6" max="6" width="36.453125" customWidth="1"/>
    <col min="7" max="7" width="37.54296875" customWidth="1"/>
    <col min="8" max="8" width="16.54296875" customWidth="1"/>
    <col min="9" max="9" width="13.1796875" customWidth="1"/>
    <col min="10" max="10" width="10" customWidth="1"/>
    <col min="11" max="11" width="13.453125" customWidth="1"/>
  </cols>
  <sheetData>
    <row r="1" spans="1:11" ht="30" customHeight="1" x14ac:dyDescent="0.35">
      <c r="A1" s="96" t="s">
        <v>175</v>
      </c>
      <c r="B1" s="97"/>
      <c r="C1" s="97"/>
      <c r="D1" s="97"/>
      <c r="E1" s="97"/>
      <c r="F1" s="97"/>
      <c r="G1" s="97"/>
      <c r="H1" s="97"/>
      <c r="I1" s="97"/>
      <c r="J1" s="97"/>
      <c r="K1" s="97"/>
    </row>
    <row r="2" spans="1:11" ht="30" customHeight="1" x14ac:dyDescent="0.35">
      <c r="A2" s="19" t="s">
        <v>66</v>
      </c>
      <c r="B2" s="19" t="s">
        <v>13</v>
      </c>
      <c r="C2" s="19" t="s">
        <v>68</v>
      </c>
      <c r="D2" s="19" t="s">
        <v>176</v>
      </c>
      <c r="E2" s="19" t="s">
        <v>177</v>
      </c>
      <c r="F2" s="19" t="s">
        <v>178</v>
      </c>
      <c r="G2" s="19" t="s">
        <v>179</v>
      </c>
      <c r="H2" s="19" t="s">
        <v>43</v>
      </c>
      <c r="I2" s="19" t="s">
        <v>44</v>
      </c>
      <c r="J2" s="19" t="s">
        <v>23</v>
      </c>
      <c r="K2" s="19" t="s">
        <v>180</v>
      </c>
    </row>
    <row r="3" spans="1:11" ht="19.5" hidden="1" customHeight="1" x14ac:dyDescent="0.35">
      <c r="A3" s="20" t="s">
        <v>114</v>
      </c>
      <c r="B3" s="20" t="s">
        <v>81</v>
      </c>
      <c r="C3" s="20" t="s">
        <v>80</v>
      </c>
      <c r="D3" s="20" t="s">
        <v>181</v>
      </c>
      <c r="E3" s="20" t="s">
        <v>182</v>
      </c>
      <c r="F3" s="20" t="s">
        <v>183</v>
      </c>
      <c r="G3" s="20" t="s">
        <v>184</v>
      </c>
      <c r="H3" s="20">
        <v>1</v>
      </c>
      <c r="I3" s="20">
        <v>1</v>
      </c>
      <c r="J3" s="22">
        <f t="shared" ref="J3:J70" si="0">IFERROR(I3/H3,0)</f>
        <v>1</v>
      </c>
      <c r="K3" s="20">
        <f t="shared" ref="K3:K70" si="1">H3-I3</f>
        <v>0</v>
      </c>
    </row>
    <row r="4" spans="1:11" ht="19.5" hidden="1" customHeight="1" x14ac:dyDescent="0.35">
      <c r="A4" s="21" t="s">
        <v>114</v>
      </c>
      <c r="B4" s="21" t="s">
        <v>81</v>
      </c>
      <c r="C4" s="21" t="s">
        <v>80</v>
      </c>
      <c r="D4" s="21" t="s">
        <v>185</v>
      </c>
      <c r="E4" s="21" t="s">
        <v>182</v>
      </c>
      <c r="F4" s="21" t="s">
        <v>186</v>
      </c>
      <c r="G4" s="21" t="s">
        <v>187</v>
      </c>
      <c r="H4" s="21">
        <v>1</v>
      </c>
      <c r="I4" s="21">
        <v>1</v>
      </c>
      <c r="J4" s="23">
        <f t="shared" si="0"/>
        <v>1</v>
      </c>
      <c r="K4" s="21">
        <f t="shared" si="1"/>
        <v>0</v>
      </c>
    </row>
    <row r="5" spans="1:11" ht="19.5" hidden="1" customHeight="1" x14ac:dyDescent="0.35">
      <c r="A5" s="20" t="s">
        <v>118</v>
      </c>
      <c r="B5" s="20" t="s">
        <v>81</v>
      </c>
      <c r="C5" s="20" t="s">
        <v>80</v>
      </c>
      <c r="D5" s="20" t="s">
        <v>188</v>
      </c>
      <c r="E5" s="20" t="s">
        <v>189</v>
      </c>
      <c r="F5" s="20" t="s">
        <v>190</v>
      </c>
      <c r="G5" s="20" t="s">
        <v>191</v>
      </c>
      <c r="H5" s="20">
        <v>1</v>
      </c>
      <c r="I5" s="20">
        <v>1</v>
      </c>
      <c r="J5" s="22">
        <f t="shared" si="0"/>
        <v>1</v>
      </c>
      <c r="K5" s="20">
        <f t="shared" si="1"/>
        <v>0</v>
      </c>
    </row>
    <row r="6" spans="1:11" ht="19.5" hidden="1" customHeight="1" x14ac:dyDescent="0.35">
      <c r="A6" s="21" t="s">
        <v>118</v>
      </c>
      <c r="B6" s="21" t="s">
        <v>81</v>
      </c>
      <c r="C6" s="21" t="s">
        <v>80</v>
      </c>
      <c r="D6" s="21" t="s">
        <v>192</v>
      </c>
      <c r="E6" s="21" t="s">
        <v>189</v>
      </c>
      <c r="F6" s="21" t="s">
        <v>193</v>
      </c>
      <c r="G6" s="21" t="s">
        <v>191</v>
      </c>
      <c r="H6" s="21">
        <v>1</v>
      </c>
      <c r="I6" s="21">
        <v>1</v>
      </c>
      <c r="J6" s="23">
        <f t="shared" si="0"/>
        <v>1</v>
      </c>
      <c r="K6" s="21">
        <f t="shared" si="1"/>
        <v>0</v>
      </c>
    </row>
    <row r="7" spans="1:11" ht="19.5" hidden="1" customHeight="1" x14ac:dyDescent="0.35">
      <c r="A7" s="20" t="s">
        <v>118</v>
      </c>
      <c r="B7" s="20" t="s">
        <v>81</v>
      </c>
      <c r="C7" s="20" t="s">
        <v>80</v>
      </c>
      <c r="D7" s="20" t="s">
        <v>194</v>
      </c>
      <c r="E7" s="20" t="s">
        <v>189</v>
      </c>
      <c r="F7" s="20" t="s">
        <v>195</v>
      </c>
      <c r="G7" s="20" t="s">
        <v>191</v>
      </c>
      <c r="H7" s="20">
        <v>1</v>
      </c>
      <c r="I7" s="20">
        <v>1</v>
      </c>
      <c r="J7" s="22">
        <f t="shared" si="0"/>
        <v>1</v>
      </c>
      <c r="K7" s="20">
        <f t="shared" si="1"/>
        <v>0</v>
      </c>
    </row>
    <row r="8" spans="1:11" ht="19.5" hidden="1" customHeight="1" x14ac:dyDescent="0.35">
      <c r="A8" s="21" t="s">
        <v>118</v>
      </c>
      <c r="B8" s="21" t="s">
        <v>81</v>
      </c>
      <c r="C8" s="21" t="s">
        <v>80</v>
      </c>
      <c r="D8" s="21" t="s">
        <v>196</v>
      </c>
      <c r="E8" s="21" t="s">
        <v>189</v>
      </c>
      <c r="F8" s="21" t="s">
        <v>197</v>
      </c>
      <c r="G8" s="21" t="s">
        <v>191</v>
      </c>
      <c r="H8" s="21">
        <v>1</v>
      </c>
      <c r="I8" s="21">
        <v>1</v>
      </c>
      <c r="J8" s="23">
        <f t="shared" si="0"/>
        <v>1</v>
      </c>
      <c r="K8" s="21">
        <f t="shared" si="1"/>
        <v>0</v>
      </c>
    </row>
    <row r="9" spans="1:11" ht="19.5" hidden="1" customHeight="1" x14ac:dyDescent="0.35">
      <c r="A9" s="21" t="s">
        <v>118</v>
      </c>
      <c r="B9" s="21" t="s">
        <v>81</v>
      </c>
      <c r="C9" s="21" t="s">
        <v>80</v>
      </c>
      <c r="D9" s="21" t="s">
        <v>198</v>
      </c>
      <c r="E9" s="21" t="s">
        <v>189</v>
      </c>
      <c r="F9" s="21" t="s">
        <v>199</v>
      </c>
      <c r="G9" s="21" t="s">
        <v>191</v>
      </c>
      <c r="H9" s="21">
        <v>1</v>
      </c>
      <c r="I9" s="21">
        <v>1</v>
      </c>
      <c r="J9" s="23">
        <f t="shared" si="0"/>
        <v>1</v>
      </c>
      <c r="K9" s="21">
        <f t="shared" si="1"/>
        <v>0</v>
      </c>
    </row>
    <row r="10" spans="1:11" ht="19.5" hidden="1" customHeight="1" x14ac:dyDescent="0.35">
      <c r="A10" s="20" t="s">
        <v>118</v>
      </c>
      <c r="B10" s="20" t="s">
        <v>81</v>
      </c>
      <c r="C10" s="20" t="s">
        <v>80</v>
      </c>
      <c r="D10" s="20" t="s">
        <v>198</v>
      </c>
      <c r="E10" s="20" t="s">
        <v>189</v>
      </c>
      <c r="F10" s="20" t="s">
        <v>200</v>
      </c>
      <c r="G10" s="20" t="s">
        <v>191</v>
      </c>
      <c r="H10" s="20">
        <v>1</v>
      </c>
      <c r="I10" s="20">
        <v>1</v>
      </c>
      <c r="J10" s="22">
        <f t="shared" si="0"/>
        <v>1</v>
      </c>
      <c r="K10" s="20">
        <f t="shared" si="1"/>
        <v>0</v>
      </c>
    </row>
    <row r="11" spans="1:11" ht="19.5" hidden="1" customHeight="1" x14ac:dyDescent="0.35">
      <c r="A11" s="21" t="s">
        <v>118</v>
      </c>
      <c r="B11" s="21" t="s">
        <v>81</v>
      </c>
      <c r="C11" s="21" t="s">
        <v>80</v>
      </c>
      <c r="D11" s="21" t="s">
        <v>201</v>
      </c>
      <c r="E11" s="21" t="s">
        <v>189</v>
      </c>
      <c r="F11" s="21" t="s">
        <v>202</v>
      </c>
      <c r="G11" s="21" t="s">
        <v>191</v>
      </c>
      <c r="H11" s="21">
        <v>1</v>
      </c>
      <c r="I11" s="21">
        <v>1</v>
      </c>
      <c r="J11" s="23">
        <f t="shared" si="0"/>
        <v>1</v>
      </c>
      <c r="K11" s="21">
        <f t="shared" si="1"/>
        <v>0</v>
      </c>
    </row>
    <row r="12" spans="1:11" ht="19.5" hidden="1" customHeight="1" x14ac:dyDescent="0.35">
      <c r="A12" s="20" t="s">
        <v>118</v>
      </c>
      <c r="B12" s="20" t="s">
        <v>81</v>
      </c>
      <c r="C12" s="20" t="s">
        <v>80</v>
      </c>
      <c r="D12" s="20" t="s">
        <v>203</v>
      </c>
      <c r="E12" s="20" t="s">
        <v>189</v>
      </c>
      <c r="F12" s="20" t="s">
        <v>204</v>
      </c>
      <c r="G12" s="20" t="s">
        <v>191</v>
      </c>
      <c r="H12" s="20">
        <v>1</v>
      </c>
      <c r="I12" s="20">
        <v>1</v>
      </c>
      <c r="J12" s="22">
        <f t="shared" si="0"/>
        <v>1</v>
      </c>
      <c r="K12" s="20">
        <f t="shared" si="1"/>
        <v>0</v>
      </c>
    </row>
    <row r="13" spans="1:11" ht="19.5" hidden="1" customHeight="1" x14ac:dyDescent="0.35">
      <c r="A13" s="21" t="s">
        <v>118</v>
      </c>
      <c r="B13" s="21" t="s">
        <v>81</v>
      </c>
      <c r="C13" s="21" t="s">
        <v>80</v>
      </c>
      <c r="D13" s="21" t="s">
        <v>205</v>
      </c>
      <c r="E13" s="21" t="s">
        <v>189</v>
      </c>
      <c r="F13" s="21" t="s">
        <v>206</v>
      </c>
      <c r="G13" s="21" t="s">
        <v>191</v>
      </c>
      <c r="H13" s="21">
        <v>1</v>
      </c>
      <c r="I13" s="21">
        <v>1</v>
      </c>
      <c r="J13" s="23">
        <f t="shared" si="0"/>
        <v>1</v>
      </c>
      <c r="K13" s="21">
        <f t="shared" si="1"/>
        <v>0</v>
      </c>
    </row>
    <row r="14" spans="1:11" ht="19.5" hidden="1" customHeight="1" x14ac:dyDescent="0.35">
      <c r="A14" s="20" t="s">
        <v>118</v>
      </c>
      <c r="B14" s="20" t="s">
        <v>81</v>
      </c>
      <c r="C14" s="20" t="s">
        <v>80</v>
      </c>
      <c r="D14" s="20" t="s">
        <v>207</v>
      </c>
      <c r="E14" s="20" t="s">
        <v>189</v>
      </c>
      <c r="F14" s="20" t="s">
        <v>207</v>
      </c>
      <c r="G14" s="20" t="s">
        <v>191</v>
      </c>
      <c r="H14" s="20">
        <v>1</v>
      </c>
      <c r="I14" s="20">
        <v>1</v>
      </c>
      <c r="J14" s="22">
        <f t="shared" si="0"/>
        <v>1</v>
      </c>
      <c r="K14" s="20">
        <f t="shared" si="1"/>
        <v>0</v>
      </c>
    </row>
    <row r="15" spans="1:11" ht="19.5" hidden="1" customHeight="1" x14ac:dyDescent="0.35">
      <c r="A15" s="21" t="s">
        <v>118</v>
      </c>
      <c r="B15" s="21" t="s">
        <v>81</v>
      </c>
      <c r="C15" s="21" t="s">
        <v>80</v>
      </c>
      <c r="D15" s="21" t="s">
        <v>208</v>
      </c>
      <c r="E15" s="21" t="s">
        <v>189</v>
      </c>
      <c r="F15" s="21" t="s">
        <v>207</v>
      </c>
      <c r="G15" s="21" t="s">
        <v>191</v>
      </c>
      <c r="H15" s="21">
        <v>1</v>
      </c>
      <c r="I15" s="21">
        <v>1</v>
      </c>
      <c r="J15" s="23">
        <f t="shared" si="0"/>
        <v>1</v>
      </c>
      <c r="K15" s="21">
        <f t="shared" si="1"/>
        <v>0</v>
      </c>
    </row>
    <row r="16" spans="1:11" ht="19.5" hidden="1" customHeight="1" x14ac:dyDescent="0.35">
      <c r="A16" s="20" t="s">
        <v>118</v>
      </c>
      <c r="B16" s="20" t="s">
        <v>81</v>
      </c>
      <c r="C16" s="20" t="s">
        <v>80</v>
      </c>
      <c r="D16" s="20" t="s">
        <v>209</v>
      </c>
      <c r="E16" s="20" t="s">
        <v>189</v>
      </c>
      <c r="F16" s="20" t="s">
        <v>210</v>
      </c>
      <c r="G16" s="20" t="s">
        <v>191</v>
      </c>
      <c r="H16" s="20">
        <v>1</v>
      </c>
      <c r="I16" s="20">
        <v>1</v>
      </c>
      <c r="J16" s="22">
        <f t="shared" si="0"/>
        <v>1</v>
      </c>
      <c r="K16" s="20">
        <f t="shared" si="1"/>
        <v>0</v>
      </c>
    </row>
    <row r="17" spans="1:11" ht="19.5" hidden="1" customHeight="1" x14ac:dyDescent="0.35">
      <c r="A17" s="21" t="s">
        <v>118</v>
      </c>
      <c r="B17" s="21" t="s">
        <v>81</v>
      </c>
      <c r="C17" s="21" t="s">
        <v>80</v>
      </c>
      <c r="D17" s="21" t="s">
        <v>211</v>
      </c>
      <c r="E17" s="21" t="s">
        <v>189</v>
      </c>
      <c r="F17" s="21" t="s">
        <v>212</v>
      </c>
      <c r="G17" s="21" t="s">
        <v>191</v>
      </c>
      <c r="H17" s="21">
        <v>1</v>
      </c>
      <c r="I17" s="21">
        <v>1</v>
      </c>
      <c r="J17" s="23">
        <f t="shared" si="0"/>
        <v>1</v>
      </c>
      <c r="K17" s="21">
        <f t="shared" si="1"/>
        <v>0</v>
      </c>
    </row>
    <row r="18" spans="1:11" ht="19.5" hidden="1" customHeight="1" x14ac:dyDescent="0.35">
      <c r="A18" s="20" t="s">
        <v>118</v>
      </c>
      <c r="B18" s="20" t="s">
        <v>81</v>
      </c>
      <c r="C18" s="20" t="s">
        <v>80</v>
      </c>
      <c r="D18" s="20" t="s">
        <v>205</v>
      </c>
      <c r="E18" s="20" t="s">
        <v>189</v>
      </c>
      <c r="F18" s="20" t="s">
        <v>205</v>
      </c>
      <c r="G18" s="20" t="s">
        <v>191</v>
      </c>
      <c r="H18" s="20">
        <v>1</v>
      </c>
      <c r="I18" s="20">
        <v>1</v>
      </c>
      <c r="J18" s="22">
        <f t="shared" si="0"/>
        <v>1</v>
      </c>
      <c r="K18" s="20">
        <f t="shared" si="1"/>
        <v>0</v>
      </c>
    </row>
    <row r="19" spans="1:11" ht="19.5" hidden="1" customHeight="1" x14ac:dyDescent="0.35">
      <c r="A19" s="21" t="s">
        <v>118</v>
      </c>
      <c r="B19" s="21" t="s">
        <v>81</v>
      </c>
      <c r="C19" s="21" t="s">
        <v>80</v>
      </c>
      <c r="D19" s="21" t="s">
        <v>213</v>
      </c>
      <c r="E19" s="21" t="s">
        <v>189</v>
      </c>
      <c r="F19" s="21" t="s">
        <v>214</v>
      </c>
      <c r="G19" s="21" t="s">
        <v>191</v>
      </c>
      <c r="H19" s="21">
        <v>1</v>
      </c>
      <c r="I19" s="21">
        <v>1</v>
      </c>
      <c r="J19" s="23">
        <f t="shared" si="0"/>
        <v>1</v>
      </c>
      <c r="K19" s="21">
        <f t="shared" si="1"/>
        <v>0</v>
      </c>
    </row>
    <row r="20" spans="1:11" hidden="1" x14ac:dyDescent="0.35">
      <c r="A20" s="20" t="s">
        <v>118</v>
      </c>
      <c r="B20" s="20" t="s">
        <v>81</v>
      </c>
      <c r="C20" s="20" t="s">
        <v>80</v>
      </c>
      <c r="D20" s="20" t="s">
        <v>215</v>
      </c>
      <c r="E20" s="20" t="s">
        <v>189</v>
      </c>
      <c r="F20" s="20" t="s">
        <v>216</v>
      </c>
      <c r="G20" s="20" t="s">
        <v>191</v>
      </c>
      <c r="H20" s="20">
        <v>1</v>
      </c>
      <c r="I20" s="20">
        <v>1</v>
      </c>
      <c r="J20" s="22">
        <f t="shared" si="0"/>
        <v>1</v>
      </c>
      <c r="K20" s="20">
        <f t="shared" si="1"/>
        <v>0</v>
      </c>
    </row>
    <row r="21" spans="1:11" hidden="1" x14ac:dyDescent="0.35">
      <c r="A21" s="21" t="s">
        <v>118</v>
      </c>
      <c r="B21" s="21" t="s">
        <v>81</v>
      </c>
      <c r="C21" s="21" t="s">
        <v>80</v>
      </c>
      <c r="D21" s="21" t="s">
        <v>217</v>
      </c>
      <c r="E21" s="21" t="s">
        <v>189</v>
      </c>
      <c r="F21" s="21" t="s">
        <v>216</v>
      </c>
      <c r="G21" s="21" t="s">
        <v>191</v>
      </c>
      <c r="H21" s="21">
        <v>1</v>
      </c>
      <c r="I21" s="21">
        <v>1</v>
      </c>
      <c r="J21" s="23">
        <f t="shared" si="0"/>
        <v>1</v>
      </c>
      <c r="K21" s="21">
        <f t="shared" si="1"/>
        <v>0</v>
      </c>
    </row>
    <row r="22" spans="1:11" hidden="1" x14ac:dyDescent="0.35">
      <c r="A22" s="20" t="s">
        <v>118</v>
      </c>
      <c r="B22" s="20" t="s">
        <v>81</v>
      </c>
      <c r="C22" s="20" t="s">
        <v>80</v>
      </c>
      <c r="D22" s="20" t="s">
        <v>218</v>
      </c>
      <c r="E22" s="20" t="s">
        <v>189</v>
      </c>
      <c r="F22" s="20" t="s">
        <v>219</v>
      </c>
      <c r="G22" s="20" t="s">
        <v>191</v>
      </c>
      <c r="H22" s="20">
        <v>1</v>
      </c>
      <c r="I22" s="20">
        <v>1</v>
      </c>
      <c r="J22" s="22">
        <f t="shared" si="0"/>
        <v>1</v>
      </c>
      <c r="K22" s="20">
        <f t="shared" si="1"/>
        <v>0</v>
      </c>
    </row>
    <row r="23" spans="1:11" hidden="1" x14ac:dyDescent="0.35">
      <c r="A23" s="21" t="s">
        <v>118</v>
      </c>
      <c r="B23" s="21" t="s">
        <v>81</v>
      </c>
      <c r="C23" s="21" t="s">
        <v>80</v>
      </c>
      <c r="D23" s="21" t="s">
        <v>220</v>
      </c>
      <c r="E23" s="21" t="s">
        <v>189</v>
      </c>
      <c r="F23" s="21" t="s">
        <v>221</v>
      </c>
      <c r="G23" s="21" t="s">
        <v>191</v>
      </c>
      <c r="H23" s="21">
        <v>1</v>
      </c>
      <c r="I23" s="21">
        <v>1</v>
      </c>
      <c r="J23" s="23">
        <f t="shared" si="0"/>
        <v>1</v>
      </c>
      <c r="K23" s="21">
        <f t="shared" si="1"/>
        <v>0</v>
      </c>
    </row>
    <row r="24" spans="1:11" hidden="1" x14ac:dyDescent="0.35">
      <c r="A24" s="20" t="s">
        <v>118</v>
      </c>
      <c r="B24" s="20" t="s">
        <v>81</v>
      </c>
      <c r="C24" s="20" t="s">
        <v>80</v>
      </c>
      <c r="D24" s="20" t="s">
        <v>222</v>
      </c>
      <c r="E24" s="20" t="s">
        <v>189</v>
      </c>
      <c r="F24" s="20" t="s">
        <v>222</v>
      </c>
      <c r="G24" s="20" t="s">
        <v>191</v>
      </c>
      <c r="H24" s="20">
        <v>1</v>
      </c>
      <c r="I24" s="20">
        <v>1</v>
      </c>
      <c r="J24" s="22">
        <f t="shared" si="0"/>
        <v>1</v>
      </c>
      <c r="K24" s="20">
        <f t="shared" si="1"/>
        <v>0</v>
      </c>
    </row>
    <row r="25" spans="1:11" hidden="1" x14ac:dyDescent="0.35">
      <c r="A25" s="21" t="s">
        <v>118</v>
      </c>
      <c r="B25" s="21" t="s">
        <v>81</v>
      </c>
      <c r="C25" s="21" t="s">
        <v>80</v>
      </c>
      <c r="D25" s="21" t="s">
        <v>223</v>
      </c>
      <c r="E25" s="21" t="s">
        <v>189</v>
      </c>
      <c r="F25" s="21" t="s">
        <v>214</v>
      </c>
      <c r="G25" s="21" t="s">
        <v>191</v>
      </c>
      <c r="H25" s="21">
        <v>1</v>
      </c>
      <c r="I25" s="21">
        <v>1</v>
      </c>
      <c r="J25" s="23">
        <f t="shared" si="0"/>
        <v>1</v>
      </c>
      <c r="K25" s="21">
        <f t="shared" si="1"/>
        <v>0</v>
      </c>
    </row>
    <row r="26" spans="1:11" hidden="1" x14ac:dyDescent="0.35">
      <c r="A26" s="20" t="s">
        <v>118</v>
      </c>
      <c r="B26" s="20" t="s">
        <v>81</v>
      </c>
      <c r="C26" s="20" t="s">
        <v>80</v>
      </c>
      <c r="D26" s="20" t="s">
        <v>224</v>
      </c>
      <c r="E26" s="20" t="s">
        <v>189</v>
      </c>
      <c r="F26" s="20" t="s">
        <v>225</v>
      </c>
      <c r="G26" s="20" t="s">
        <v>191</v>
      </c>
      <c r="H26" s="20">
        <v>1</v>
      </c>
      <c r="I26" s="20">
        <v>1</v>
      </c>
      <c r="J26" s="22">
        <f t="shared" si="0"/>
        <v>1</v>
      </c>
      <c r="K26" s="20">
        <f t="shared" si="1"/>
        <v>0</v>
      </c>
    </row>
    <row r="27" spans="1:11" hidden="1" x14ac:dyDescent="0.35">
      <c r="A27" s="21" t="s">
        <v>118</v>
      </c>
      <c r="B27" s="21" t="s">
        <v>81</v>
      </c>
      <c r="C27" s="21" t="s">
        <v>80</v>
      </c>
      <c r="D27" s="21" t="s">
        <v>226</v>
      </c>
      <c r="E27" s="21" t="s">
        <v>189</v>
      </c>
      <c r="F27" s="21" t="s">
        <v>227</v>
      </c>
      <c r="G27" s="21" t="s">
        <v>191</v>
      </c>
      <c r="H27" s="21">
        <v>1</v>
      </c>
      <c r="I27" s="21">
        <v>1</v>
      </c>
      <c r="J27" s="23">
        <f t="shared" si="0"/>
        <v>1</v>
      </c>
      <c r="K27" s="21">
        <f t="shared" si="1"/>
        <v>0</v>
      </c>
    </row>
    <row r="28" spans="1:11" hidden="1" x14ac:dyDescent="0.35">
      <c r="A28" s="20" t="s">
        <v>118</v>
      </c>
      <c r="B28" s="20" t="s">
        <v>81</v>
      </c>
      <c r="C28" s="20" t="s">
        <v>80</v>
      </c>
      <c r="D28" s="20" t="s">
        <v>228</v>
      </c>
      <c r="E28" s="20" t="s">
        <v>189</v>
      </c>
      <c r="F28" s="20" t="s">
        <v>229</v>
      </c>
      <c r="G28" s="20" t="s">
        <v>191</v>
      </c>
      <c r="H28" s="20">
        <v>1</v>
      </c>
      <c r="I28" s="20">
        <v>1</v>
      </c>
      <c r="J28" s="22">
        <f t="shared" si="0"/>
        <v>1</v>
      </c>
      <c r="K28" s="20">
        <f t="shared" si="1"/>
        <v>0</v>
      </c>
    </row>
    <row r="29" spans="1:11" hidden="1" x14ac:dyDescent="0.35">
      <c r="A29" s="21" t="s">
        <v>118</v>
      </c>
      <c r="B29" s="21" t="s">
        <v>81</v>
      </c>
      <c r="C29" s="21" t="s">
        <v>80</v>
      </c>
      <c r="D29" s="21" t="s">
        <v>230</v>
      </c>
      <c r="E29" s="21" t="s">
        <v>189</v>
      </c>
      <c r="F29" s="21" t="s">
        <v>230</v>
      </c>
      <c r="G29" s="21" t="s">
        <v>191</v>
      </c>
      <c r="H29" s="21">
        <v>1</v>
      </c>
      <c r="I29" s="21">
        <v>1</v>
      </c>
      <c r="J29" s="23">
        <f t="shared" si="0"/>
        <v>1</v>
      </c>
      <c r="K29" s="21">
        <f t="shared" si="1"/>
        <v>0</v>
      </c>
    </row>
    <row r="30" spans="1:11" hidden="1" x14ac:dyDescent="0.35">
      <c r="A30" s="20" t="s">
        <v>118</v>
      </c>
      <c r="B30" s="20" t="s">
        <v>81</v>
      </c>
      <c r="C30" s="20" t="s">
        <v>80</v>
      </c>
      <c r="D30" s="20" t="s">
        <v>231</v>
      </c>
      <c r="E30" s="20" t="s">
        <v>189</v>
      </c>
      <c r="F30" s="20" t="s">
        <v>232</v>
      </c>
      <c r="G30" s="20" t="s">
        <v>191</v>
      </c>
      <c r="H30" s="20">
        <v>1</v>
      </c>
      <c r="I30" s="20">
        <v>1</v>
      </c>
      <c r="J30" s="22">
        <f t="shared" si="0"/>
        <v>1</v>
      </c>
      <c r="K30" s="20">
        <f t="shared" si="1"/>
        <v>0</v>
      </c>
    </row>
    <row r="31" spans="1:11" hidden="1" x14ac:dyDescent="0.35">
      <c r="A31" s="21" t="s">
        <v>118</v>
      </c>
      <c r="B31" s="21" t="s">
        <v>81</v>
      </c>
      <c r="C31" s="21" t="s">
        <v>80</v>
      </c>
      <c r="D31" s="21" t="s">
        <v>233</v>
      </c>
      <c r="E31" s="21" t="s">
        <v>189</v>
      </c>
      <c r="F31" s="21" t="s">
        <v>234</v>
      </c>
      <c r="G31" s="21" t="s">
        <v>191</v>
      </c>
      <c r="H31" s="21">
        <v>1</v>
      </c>
      <c r="I31" s="21">
        <v>1</v>
      </c>
      <c r="J31" s="23">
        <f t="shared" si="0"/>
        <v>1</v>
      </c>
      <c r="K31" s="21">
        <f t="shared" si="1"/>
        <v>0</v>
      </c>
    </row>
    <row r="32" spans="1:11" hidden="1" x14ac:dyDescent="0.35">
      <c r="A32" s="20" t="s">
        <v>118</v>
      </c>
      <c r="B32" s="20" t="s">
        <v>81</v>
      </c>
      <c r="C32" s="20" t="s">
        <v>80</v>
      </c>
      <c r="D32" s="20" t="s">
        <v>235</v>
      </c>
      <c r="E32" s="20" t="s">
        <v>189</v>
      </c>
      <c r="F32" s="20" t="s">
        <v>236</v>
      </c>
      <c r="G32" s="20" t="s">
        <v>191</v>
      </c>
      <c r="H32" s="20">
        <v>1</v>
      </c>
      <c r="I32" s="20">
        <v>1</v>
      </c>
      <c r="J32" s="22">
        <f t="shared" si="0"/>
        <v>1</v>
      </c>
      <c r="K32" s="20">
        <f t="shared" si="1"/>
        <v>0</v>
      </c>
    </row>
    <row r="33" spans="1:11" hidden="1" x14ac:dyDescent="0.35">
      <c r="A33" s="21" t="s">
        <v>121</v>
      </c>
      <c r="B33" s="21" t="s">
        <v>81</v>
      </c>
      <c r="C33" s="21" t="s">
        <v>80</v>
      </c>
      <c r="D33" s="21" t="s">
        <v>237</v>
      </c>
      <c r="E33" s="21" t="s">
        <v>238</v>
      </c>
      <c r="F33" s="21" t="s">
        <v>239</v>
      </c>
      <c r="G33" s="21" t="s">
        <v>191</v>
      </c>
      <c r="H33" s="21">
        <v>1</v>
      </c>
      <c r="I33" s="21">
        <v>1</v>
      </c>
      <c r="J33" s="23">
        <f t="shared" si="0"/>
        <v>1</v>
      </c>
      <c r="K33" s="21">
        <f t="shared" si="1"/>
        <v>0</v>
      </c>
    </row>
    <row r="34" spans="1:11" hidden="1" x14ac:dyDescent="0.35">
      <c r="A34" s="20" t="s">
        <v>121</v>
      </c>
      <c r="B34" s="20" t="s">
        <v>81</v>
      </c>
      <c r="C34" s="20" t="s">
        <v>80</v>
      </c>
      <c r="D34" s="20" t="s">
        <v>237</v>
      </c>
      <c r="E34" s="20" t="s">
        <v>238</v>
      </c>
      <c r="F34" s="20" t="s">
        <v>240</v>
      </c>
      <c r="G34" s="20" t="s">
        <v>191</v>
      </c>
      <c r="H34" s="20">
        <v>1</v>
      </c>
      <c r="I34" s="20">
        <v>1</v>
      </c>
      <c r="J34" s="22">
        <f t="shared" si="0"/>
        <v>1</v>
      </c>
      <c r="K34" s="20">
        <f t="shared" si="1"/>
        <v>0</v>
      </c>
    </row>
    <row r="35" spans="1:11" ht="14.5" hidden="1" customHeight="1" x14ac:dyDescent="0.35">
      <c r="A35" s="21" t="s">
        <v>124</v>
      </c>
      <c r="B35" s="21" t="s">
        <v>81</v>
      </c>
      <c r="C35" s="21" t="s">
        <v>80</v>
      </c>
      <c r="D35" s="21" t="s">
        <v>241</v>
      </c>
      <c r="E35" s="21" t="s">
        <v>182</v>
      </c>
      <c r="F35" s="21" t="s">
        <v>242</v>
      </c>
      <c r="G35" s="21" t="s">
        <v>184</v>
      </c>
      <c r="H35" s="21">
        <v>1</v>
      </c>
      <c r="I35" s="21">
        <v>1</v>
      </c>
      <c r="J35" s="23">
        <f t="shared" si="0"/>
        <v>1</v>
      </c>
      <c r="K35" s="21">
        <f t="shared" si="1"/>
        <v>0</v>
      </c>
    </row>
    <row r="36" spans="1:11" ht="14.5" hidden="1" customHeight="1" x14ac:dyDescent="0.35">
      <c r="A36" s="20" t="s">
        <v>124</v>
      </c>
      <c r="B36" s="20" t="s">
        <v>81</v>
      </c>
      <c r="C36" s="20" t="s">
        <v>80</v>
      </c>
      <c r="D36" s="20" t="s">
        <v>241</v>
      </c>
      <c r="E36" s="20" t="s">
        <v>182</v>
      </c>
      <c r="F36" s="20" t="s">
        <v>243</v>
      </c>
      <c r="G36" s="20" t="s">
        <v>184</v>
      </c>
      <c r="H36" s="20">
        <v>1</v>
      </c>
      <c r="I36" s="20">
        <v>1</v>
      </c>
      <c r="J36" s="22">
        <f t="shared" si="0"/>
        <v>1</v>
      </c>
      <c r="K36" s="20">
        <f t="shared" si="1"/>
        <v>0</v>
      </c>
    </row>
    <row r="37" spans="1:11" ht="14.5" hidden="1" customHeight="1" x14ac:dyDescent="0.35">
      <c r="A37" s="21" t="s">
        <v>127</v>
      </c>
      <c r="B37" s="21" t="s">
        <v>81</v>
      </c>
      <c r="C37" s="21" t="s">
        <v>80</v>
      </c>
      <c r="D37" s="21" t="s">
        <v>244</v>
      </c>
      <c r="E37" s="21" t="s">
        <v>182</v>
      </c>
      <c r="F37" s="21" t="s">
        <v>245</v>
      </c>
      <c r="G37" s="21" t="s">
        <v>184</v>
      </c>
      <c r="H37" s="21">
        <v>1</v>
      </c>
      <c r="I37" s="21">
        <v>1</v>
      </c>
      <c r="J37" s="23">
        <f t="shared" si="0"/>
        <v>1</v>
      </c>
      <c r="K37" s="21">
        <f t="shared" si="1"/>
        <v>0</v>
      </c>
    </row>
    <row r="38" spans="1:11" ht="14.5" hidden="1" customHeight="1" x14ac:dyDescent="0.35">
      <c r="A38" s="20" t="s">
        <v>127</v>
      </c>
      <c r="B38" s="20" t="s">
        <v>81</v>
      </c>
      <c r="C38" s="20" t="s">
        <v>80</v>
      </c>
      <c r="D38" s="20" t="s">
        <v>244</v>
      </c>
      <c r="E38" s="20" t="s">
        <v>182</v>
      </c>
      <c r="F38" s="20" t="s">
        <v>246</v>
      </c>
      <c r="G38" s="20" t="s">
        <v>184</v>
      </c>
      <c r="H38" s="20">
        <v>1</v>
      </c>
      <c r="I38" s="20">
        <v>1</v>
      </c>
      <c r="J38" s="22">
        <f t="shared" si="0"/>
        <v>1</v>
      </c>
      <c r="K38" s="20">
        <f t="shared" si="1"/>
        <v>0</v>
      </c>
    </row>
    <row r="39" spans="1:11" hidden="1" x14ac:dyDescent="0.35">
      <c r="A39" s="20" t="s">
        <v>77</v>
      </c>
      <c r="B39" s="20" t="s">
        <v>81</v>
      </c>
      <c r="C39" s="20" t="s">
        <v>80</v>
      </c>
      <c r="D39" s="20" t="s">
        <v>79</v>
      </c>
      <c r="E39" s="20" t="s">
        <v>247</v>
      </c>
      <c r="F39" s="20" t="s">
        <v>247</v>
      </c>
      <c r="G39" s="20" t="s">
        <v>79</v>
      </c>
      <c r="H39" s="20">
        <v>1</v>
      </c>
      <c r="I39" s="20">
        <v>1</v>
      </c>
      <c r="J39" s="22">
        <f t="shared" si="0"/>
        <v>1</v>
      </c>
      <c r="K39" s="20">
        <f t="shared" si="1"/>
        <v>0</v>
      </c>
    </row>
    <row r="40" spans="1:11" hidden="1" x14ac:dyDescent="0.35">
      <c r="A40" s="20" t="s">
        <v>88</v>
      </c>
      <c r="B40" s="20" t="s">
        <v>81</v>
      </c>
      <c r="C40" s="20" t="s">
        <v>80</v>
      </c>
      <c r="D40" s="20" t="s">
        <v>248</v>
      </c>
      <c r="E40" s="20" t="s">
        <v>247</v>
      </c>
      <c r="F40" s="20" t="s">
        <v>247</v>
      </c>
      <c r="G40" s="20" t="s">
        <v>249</v>
      </c>
      <c r="H40" s="20">
        <v>1</v>
      </c>
      <c r="I40" s="20">
        <v>1</v>
      </c>
      <c r="J40" s="22">
        <f t="shared" si="0"/>
        <v>1</v>
      </c>
      <c r="K40" s="20">
        <f t="shared" si="1"/>
        <v>0</v>
      </c>
    </row>
    <row r="41" spans="1:11" hidden="1" x14ac:dyDescent="0.35">
      <c r="A41" s="20" t="s">
        <v>92</v>
      </c>
      <c r="B41" s="20" t="s">
        <v>81</v>
      </c>
      <c r="C41" s="20" t="s">
        <v>133</v>
      </c>
      <c r="D41" s="20" t="s">
        <v>250</v>
      </c>
      <c r="E41" s="20" t="s">
        <v>247</v>
      </c>
      <c r="F41" s="20" t="s">
        <v>247</v>
      </c>
      <c r="G41" s="20" t="s">
        <v>251</v>
      </c>
      <c r="H41" s="20">
        <v>1</v>
      </c>
      <c r="I41" s="20">
        <v>1</v>
      </c>
      <c r="J41" s="22">
        <f t="shared" si="0"/>
        <v>1</v>
      </c>
      <c r="K41" s="20">
        <f t="shared" si="1"/>
        <v>0</v>
      </c>
    </row>
    <row r="42" spans="1:11" hidden="1" x14ac:dyDescent="0.35">
      <c r="A42" s="20" t="s">
        <v>100</v>
      </c>
      <c r="B42" s="20" t="s">
        <v>81</v>
      </c>
      <c r="C42" s="20" t="s">
        <v>133</v>
      </c>
      <c r="D42" s="20" t="s">
        <v>252</v>
      </c>
      <c r="E42" s="20" t="s">
        <v>247</v>
      </c>
      <c r="F42" s="20" t="s">
        <v>247</v>
      </c>
      <c r="G42" s="20" t="s">
        <v>253</v>
      </c>
      <c r="H42" s="20">
        <v>3</v>
      </c>
      <c r="I42" s="20">
        <v>3</v>
      </c>
      <c r="J42" s="22">
        <f t="shared" si="0"/>
        <v>1</v>
      </c>
      <c r="K42" s="20">
        <f t="shared" si="1"/>
        <v>0</v>
      </c>
    </row>
    <row r="43" spans="1:11" hidden="1" x14ac:dyDescent="0.35">
      <c r="A43" s="20" t="s">
        <v>105</v>
      </c>
      <c r="B43" s="20" t="s">
        <v>81</v>
      </c>
      <c r="C43" s="20" t="s">
        <v>133</v>
      </c>
      <c r="D43" s="20" t="s">
        <v>254</v>
      </c>
      <c r="E43" s="20" t="s">
        <v>247</v>
      </c>
      <c r="F43" s="20" t="s">
        <v>247</v>
      </c>
      <c r="G43" s="20" t="s">
        <v>255</v>
      </c>
      <c r="H43" s="20">
        <v>6</v>
      </c>
      <c r="I43" s="20">
        <v>6</v>
      </c>
      <c r="J43" s="22">
        <f t="shared" si="0"/>
        <v>1</v>
      </c>
      <c r="K43" s="20">
        <f t="shared" si="1"/>
        <v>0</v>
      </c>
    </row>
    <row r="44" spans="1:11" ht="15.75" customHeight="1" x14ac:dyDescent="0.35">
      <c r="A44" s="20" t="s">
        <v>114</v>
      </c>
      <c r="B44" s="20" t="s">
        <v>136</v>
      </c>
      <c r="C44" s="20" t="s">
        <v>80</v>
      </c>
      <c r="D44" s="20" t="s">
        <v>256</v>
      </c>
      <c r="E44" s="20" t="s">
        <v>257</v>
      </c>
      <c r="F44" s="20" t="s">
        <v>258</v>
      </c>
      <c r="G44" s="20" t="s">
        <v>184</v>
      </c>
      <c r="H44" s="20">
        <v>1</v>
      </c>
      <c r="I44" s="20">
        <v>0</v>
      </c>
      <c r="J44" s="22">
        <f t="shared" si="0"/>
        <v>0</v>
      </c>
      <c r="K44" s="20">
        <f t="shared" si="1"/>
        <v>1</v>
      </c>
    </row>
    <row r="45" spans="1:11" x14ac:dyDescent="0.35">
      <c r="A45" s="20" t="s">
        <v>114</v>
      </c>
      <c r="B45" s="20" t="s">
        <v>136</v>
      </c>
      <c r="C45" s="20" t="s">
        <v>80</v>
      </c>
      <c r="D45" s="20" t="s">
        <v>256</v>
      </c>
      <c r="E45" s="20" t="s">
        <v>257</v>
      </c>
      <c r="F45" s="20" t="s">
        <v>259</v>
      </c>
      <c r="G45" s="20" t="s">
        <v>184</v>
      </c>
      <c r="H45" s="20">
        <v>1</v>
      </c>
      <c r="I45" s="20">
        <v>0</v>
      </c>
      <c r="J45" s="22">
        <f t="shared" si="0"/>
        <v>0</v>
      </c>
      <c r="K45" s="20">
        <f t="shared" si="1"/>
        <v>1</v>
      </c>
    </row>
    <row r="46" spans="1:11" x14ac:dyDescent="0.35">
      <c r="A46" s="20" t="s">
        <v>114</v>
      </c>
      <c r="B46" s="20" t="s">
        <v>136</v>
      </c>
      <c r="C46" s="20" t="s">
        <v>80</v>
      </c>
      <c r="D46" s="20" t="s">
        <v>260</v>
      </c>
      <c r="E46" s="20" t="s">
        <v>257</v>
      </c>
      <c r="F46" s="20" t="s">
        <v>261</v>
      </c>
      <c r="G46" s="20" t="s">
        <v>184</v>
      </c>
      <c r="H46" s="20">
        <v>1</v>
      </c>
      <c r="I46" s="20">
        <v>0</v>
      </c>
      <c r="J46" s="22">
        <f t="shared" si="0"/>
        <v>0</v>
      </c>
      <c r="K46" s="20">
        <f t="shared" si="1"/>
        <v>1</v>
      </c>
    </row>
    <row r="47" spans="1:11" x14ac:dyDescent="0.35">
      <c r="A47" s="20" t="s">
        <v>114</v>
      </c>
      <c r="B47" s="20" t="s">
        <v>136</v>
      </c>
      <c r="C47" s="20" t="s">
        <v>80</v>
      </c>
      <c r="D47" s="20" t="s">
        <v>260</v>
      </c>
      <c r="E47" s="20" t="s">
        <v>257</v>
      </c>
      <c r="F47" s="20" t="s">
        <v>262</v>
      </c>
      <c r="G47" s="20" t="s">
        <v>184</v>
      </c>
      <c r="H47" s="20">
        <v>1</v>
      </c>
      <c r="I47" s="20">
        <v>0</v>
      </c>
      <c r="J47" s="22">
        <f t="shared" si="0"/>
        <v>0</v>
      </c>
      <c r="K47" s="20">
        <f t="shared" si="1"/>
        <v>1</v>
      </c>
    </row>
    <row r="48" spans="1:11" x14ac:dyDescent="0.35">
      <c r="A48" s="20" t="s">
        <v>114</v>
      </c>
      <c r="B48" s="20" t="s">
        <v>136</v>
      </c>
      <c r="C48" s="20" t="s">
        <v>80</v>
      </c>
      <c r="D48" s="20" t="s">
        <v>256</v>
      </c>
      <c r="E48" s="20" t="s">
        <v>257</v>
      </c>
      <c r="F48" s="20" t="s">
        <v>263</v>
      </c>
      <c r="G48" s="20" t="s">
        <v>184</v>
      </c>
      <c r="H48" s="20">
        <v>1</v>
      </c>
      <c r="I48" s="20">
        <v>0</v>
      </c>
      <c r="J48" s="22">
        <f t="shared" si="0"/>
        <v>0</v>
      </c>
      <c r="K48" s="20">
        <f t="shared" si="1"/>
        <v>1</v>
      </c>
    </row>
    <row r="49" spans="1:11" x14ac:dyDescent="0.35">
      <c r="A49" s="20" t="s">
        <v>114</v>
      </c>
      <c r="B49" s="20" t="s">
        <v>136</v>
      </c>
      <c r="C49" s="20" t="s">
        <v>80</v>
      </c>
      <c r="D49" s="20" t="s">
        <v>256</v>
      </c>
      <c r="E49" s="20" t="s">
        <v>257</v>
      </c>
      <c r="F49" s="20" t="s">
        <v>264</v>
      </c>
      <c r="G49" s="20" t="s">
        <v>184</v>
      </c>
      <c r="H49" s="20">
        <v>1</v>
      </c>
      <c r="I49" s="20">
        <v>0</v>
      </c>
      <c r="J49" s="22">
        <f t="shared" si="0"/>
        <v>0</v>
      </c>
      <c r="K49" s="20">
        <f t="shared" si="1"/>
        <v>1</v>
      </c>
    </row>
    <row r="50" spans="1:11" x14ac:dyDescent="0.35">
      <c r="A50" s="20" t="s">
        <v>114</v>
      </c>
      <c r="B50" s="20" t="s">
        <v>136</v>
      </c>
      <c r="C50" s="20" t="s">
        <v>80</v>
      </c>
      <c r="D50" s="20" t="s">
        <v>256</v>
      </c>
      <c r="E50" s="20" t="s">
        <v>257</v>
      </c>
      <c r="F50" s="20" t="s">
        <v>265</v>
      </c>
      <c r="G50" s="20" t="s">
        <v>184</v>
      </c>
      <c r="H50" s="20">
        <v>1</v>
      </c>
      <c r="I50" s="20">
        <v>0</v>
      </c>
      <c r="J50" s="22">
        <f t="shared" si="0"/>
        <v>0</v>
      </c>
      <c r="K50" s="20">
        <f t="shared" si="1"/>
        <v>1</v>
      </c>
    </row>
    <row r="51" spans="1:11" x14ac:dyDescent="0.35">
      <c r="A51" s="20" t="s">
        <v>114</v>
      </c>
      <c r="B51" s="20" t="s">
        <v>136</v>
      </c>
      <c r="C51" s="20" t="s">
        <v>80</v>
      </c>
      <c r="D51" s="20" t="s">
        <v>266</v>
      </c>
      <c r="E51" s="20" t="s">
        <v>257</v>
      </c>
      <c r="F51" s="20" t="s">
        <v>267</v>
      </c>
      <c r="G51" s="20" t="s">
        <v>184</v>
      </c>
      <c r="H51" s="20">
        <v>1</v>
      </c>
      <c r="I51" s="20">
        <v>0</v>
      </c>
      <c r="J51" s="22">
        <f t="shared" si="0"/>
        <v>0</v>
      </c>
      <c r="K51" s="20">
        <f t="shared" si="1"/>
        <v>1</v>
      </c>
    </row>
    <row r="52" spans="1:11" x14ac:dyDescent="0.35">
      <c r="A52" s="20" t="s">
        <v>114</v>
      </c>
      <c r="B52" s="20" t="s">
        <v>136</v>
      </c>
      <c r="C52" s="20" t="s">
        <v>80</v>
      </c>
      <c r="D52" s="20" t="s">
        <v>266</v>
      </c>
      <c r="E52" s="20" t="s">
        <v>257</v>
      </c>
      <c r="F52" s="20" t="s">
        <v>268</v>
      </c>
      <c r="G52" s="20" t="s">
        <v>184</v>
      </c>
      <c r="H52" s="20">
        <v>1</v>
      </c>
      <c r="I52" s="20">
        <v>0</v>
      </c>
      <c r="J52" s="22">
        <f t="shared" si="0"/>
        <v>0</v>
      </c>
      <c r="K52" s="20">
        <f t="shared" si="1"/>
        <v>1</v>
      </c>
    </row>
    <row r="53" spans="1:11" x14ac:dyDescent="0.35">
      <c r="A53" s="20" t="s">
        <v>114</v>
      </c>
      <c r="B53" s="20" t="s">
        <v>136</v>
      </c>
      <c r="C53" s="20" t="s">
        <v>80</v>
      </c>
      <c r="D53" s="20" t="s">
        <v>269</v>
      </c>
      <c r="E53" s="20" t="s">
        <v>257</v>
      </c>
      <c r="F53" s="20" t="s">
        <v>270</v>
      </c>
      <c r="G53" s="20" t="s">
        <v>184</v>
      </c>
      <c r="H53" s="20">
        <v>1</v>
      </c>
      <c r="I53" s="20">
        <v>0</v>
      </c>
      <c r="J53" s="22">
        <f t="shared" si="0"/>
        <v>0</v>
      </c>
      <c r="K53" s="20">
        <f t="shared" si="1"/>
        <v>1</v>
      </c>
    </row>
    <row r="54" spans="1:11" x14ac:dyDescent="0.35">
      <c r="A54" s="20" t="s">
        <v>114</v>
      </c>
      <c r="B54" s="20" t="s">
        <v>136</v>
      </c>
      <c r="C54" s="20" t="s">
        <v>80</v>
      </c>
      <c r="D54" s="20" t="s">
        <v>269</v>
      </c>
      <c r="E54" s="20" t="s">
        <v>257</v>
      </c>
      <c r="F54" s="20" t="s">
        <v>271</v>
      </c>
      <c r="G54" s="20" t="s">
        <v>184</v>
      </c>
      <c r="H54" s="20">
        <v>1</v>
      </c>
      <c r="I54" s="20">
        <v>0</v>
      </c>
      <c r="J54" s="22">
        <f t="shared" si="0"/>
        <v>0</v>
      </c>
      <c r="K54" s="20">
        <f t="shared" si="1"/>
        <v>1</v>
      </c>
    </row>
    <row r="55" spans="1:11" x14ac:dyDescent="0.35">
      <c r="A55" s="20" t="s">
        <v>114</v>
      </c>
      <c r="B55" s="20" t="s">
        <v>136</v>
      </c>
      <c r="C55" s="20" t="s">
        <v>80</v>
      </c>
      <c r="D55" s="20" t="s">
        <v>272</v>
      </c>
      <c r="E55" s="20" t="s">
        <v>257</v>
      </c>
      <c r="F55" s="20" t="s">
        <v>273</v>
      </c>
      <c r="G55" s="20" t="s">
        <v>184</v>
      </c>
      <c r="H55" s="20">
        <v>1</v>
      </c>
      <c r="I55" s="20">
        <v>0</v>
      </c>
      <c r="J55" s="22">
        <f t="shared" si="0"/>
        <v>0</v>
      </c>
      <c r="K55" s="20">
        <f t="shared" si="1"/>
        <v>1</v>
      </c>
    </row>
    <row r="56" spans="1:11" x14ac:dyDescent="0.35">
      <c r="A56" s="20" t="s">
        <v>114</v>
      </c>
      <c r="B56" s="20" t="s">
        <v>136</v>
      </c>
      <c r="C56" s="20" t="s">
        <v>80</v>
      </c>
      <c r="D56" s="20" t="s">
        <v>274</v>
      </c>
      <c r="E56" s="20" t="s">
        <v>257</v>
      </c>
      <c r="F56" s="20" t="s">
        <v>275</v>
      </c>
      <c r="G56" s="20" t="s">
        <v>184</v>
      </c>
      <c r="H56" s="20">
        <v>1</v>
      </c>
      <c r="I56" s="20">
        <v>0</v>
      </c>
      <c r="J56" s="22">
        <f t="shared" si="0"/>
        <v>0</v>
      </c>
      <c r="K56" s="20">
        <f t="shared" si="1"/>
        <v>1</v>
      </c>
    </row>
    <row r="57" spans="1:11" x14ac:dyDescent="0.35">
      <c r="A57" s="20" t="s">
        <v>114</v>
      </c>
      <c r="B57" s="20" t="s">
        <v>136</v>
      </c>
      <c r="C57" s="20" t="s">
        <v>80</v>
      </c>
      <c r="D57" s="20" t="s">
        <v>276</v>
      </c>
      <c r="E57" s="20" t="s">
        <v>182</v>
      </c>
      <c r="F57" s="20"/>
      <c r="G57" s="20" t="s">
        <v>184</v>
      </c>
      <c r="H57" s="20">
        <v>1</v>
      </c>
      <c r="I57" s="20">
        <v>0</v>
      </c>
      <c r="J57" s="22">
        <f t="shared" si="0"/>
        <v>0</v>
      </c>
      <c r="K57" s="20">
        <f t="shared" si="1"/>
        <v>1</v>
      </c>
    </row>
    <row r="58" spans="1:11" x14ac:dyDescent="0.35">
      <c r="A58" s="20" t="s">
        <v>114</v>
      </c>
      <c r="B58" s="20" t="s">
        <v>136</v>
      </c>
      <c r="C58" s="20" t="s">
        <v>80</v>
      </c>
      <c r="D58" s="20" t="s">
        <v>277</v>
      </c>
      <c r="E58" s="20" t="s">
        <v>257</v>
      </c>
      <c r="F58" s="20" t="s">
        <v>278</v>
      </c>
      <c r="G58" s="20" t="s">
        <v>184</v>
      </c>
      <c r="H58" s="20">
        <v>1</v>
      </c>
      <c r="I58" s="20">
        <v>0</v>
      </c>
      <c r="J58" s="22">
        <f t="shared" si="0"/>
        <v>0</v>
      </c>
      <c r="K58" s="20">
        <f t="shared" si="1"/>
        <v>1</v>
      </c>
    </row>
    <row r="59" spans="1:11" x14ac:dyDescent="0.35">
      <c r="A59" s="20" t="s">
        <v>118</v>
      </c>
      <c r="B59" s="20" t="s">
        <v>136</v>
      </c>
      <c r="C59" s="20" t="s">
        <v>80</v>
      </c>
      <c r="D59" s="20" t="s">
        <v>279</v>
      </c>
      <c r="E59" s="20" t="s">
        <v>189</v>
      </c>
      <c r="F59" s="20" t="s">
        <v>280</v>
      </c>
      <c r="G59" s="20" t="s">
        <v>191</v>
      </c>
      <c r="H59" s="20">
        <v>1</v>
      </c>
      <c r="I59" s="20">
        <v>0</v>
      </c>
      <c r="J59" s="22">
        <f t="shared" si="0"/>
        <v>0</v>
      </c>
      <c r="K59" s="20">
        <f t="shared" si="1"/>
        <v>1</v>
      </c>
    </row>
    <row r="60" spans="1:11" x14ac:dyDescent="0.35">
      <c r="A60" s="20" t="s">
        <v>118</v>
      </c>
      <c r="B60" s="20" t="s">
        <v>136</v>
      </c>
      <c r="C60" s="20" t="s">
        <v>80</v>
      </c>
      <c r="D60" s="20" t="s">
        <v>281</v>
      </c>
      <c r="E60" s="20" t="s">
        <v>189</v>
      </c>
      <c r="F60" s="20" t="s">
        <v>280</v>
      </c>
      <c r="G60" s="20" t="s">
        <v>191</v>
      </c>
      <c r="H60" s="20">
        <v>1</v>
      </c>
      <c r="I60" s="20">
        <v>0</v>
      </c>
      <c r="J60" s="22">
        <f t="shared" si="0"/>
        <v>0</v>
      </c>
      <c r="K60" s="20">
        <f t="shared" si="1"/>
        <v>1</v>
      </c>
    </row>
    <row r="61" spans="1:11" x14ac:dyDescent="0.35">
      <c r="A61" s="20" t="s">
        <v>118</v>
      </c>
      <c r="B61" s="20" t="s">
        <v>136</v>
      </c>
      <c r="C61" s="20" t="s">
        <v>80</v>
      </c>
      <c r="D61" s="20" t="s">
        <v>282</v>
      </c>
      <c r="E61" s="20" t="s">
        <v>189</v>
      </c>
      <c r="F61" s="20" t="s">
        <v>283</v>
      </c>
      <c r="G61" s="20" t="s">
        <v>191</v>
      </c>
      <c r="H61" s="20">
        <v>1</v>
      </c>
      <c r="I61" s="20">
        <v>0</v>
      </c>
      <c r="J61" s="22">
        <f t="shared" si="0"/>
        <v>0</v>
      </c>
      <c r="K61" s="20">
        <f t="shared" si="1"/>
        <v>1</v>
      </c>
    </row>
    <row r="62" spans="1:11" x14ac:dyDescent="0.35">
      <c r="A62" s="20" t="s">
        <v>118</v>
      </c>
      <c r="B62" s="20" t="s">
        <v>136</v>
      </c>
      <c r="C62" s="20" t="s">
        <v>80</v>
      </c>
      <c r="D62" s="20" t="s">
        <v>284</v>
      </c>
      <c r="E62" s="20" t="s">
        <v>189</v>
      </c>
      <c r="F62" s="20" t="s">
        <v>285</v>
      </c>
      <c r="G62" s="20" t="s">
        <v>191</v>
      </c>
      <c r="H62" s="20">
        <v>1</v>
      </c>
      <c r="I62" s="20">
        <v>0</v>
      </c>
      <c r="J62" s="22">
        <f t="shared" si="0"/>
        <v>0</v>
      </c>
      <c r="K62" s="20">
        <f t="shared" si="1"/>
        <v>1</v>
      </c>
    </row>
    <row r="63" spans="1:11" x14ac:dyDescent="0.35">
      <c r="A63" s="20" t="s">
        <v>118</v>
      </c>
      <c r="B63" s="20" t="s">
        <v>136</v>
      </c>
      <c r="C63" s="20" t="s">
        <v>80</v>
      </c>
      <c r="D63" s="20" t="s">
        <v>286</v>
      </c>
      <c r="E63" s="20" t="s">
        <v>189</v>
      </c>
      <c r="F63" s="20" t="s">
        <v>285</v>
      </c>
      <c r="G63" s="20" t="s">
        <v>191</v>
      </c>
      <c r="H63" s="20">
        <v>1</v>
      </c>
      <c r="I63" s="20">
        <v>0</v>
      </c>
      <c r="J63" s="22">
        <f t="shared" si="0"/>
        <v>0</v>
      </c>
      <c r="K63" s="20">
        <f t="shared" si="1"/>
        <v>1</v>
      </c>
    </row>
    <row r="64" spans="1:11" x14ac:dyDescent="0.35">
      <c r="A64" s="20" t="s">
        <v>118</v>
      </c>
      <c r="B64" s="20" t="s">
        <v>136</v>
      </c>
      <c r="C64" s="20" t="s">
        <v>80</v>
      </c>
      <c r="D64" s="20" t="s">
        <v>287</v>
      </c>
      <c r="E64" s="20" t="s">
        <v>189</v>
      </c>
      <c r="F64" s="20" t="s">
        <v>288</v>
      </c>
      <c r="G64" s="20" t="s">
        <v>191</v>
      </c>
      <c r="H64" s="20">
        <v>1</v>
      </c>
      <c r="I64" s="20">
        <v>0</v>
      </c>
      <c r="J64" s="22">
        <f t="shared" si="0"/>
        <v>0</v>
      </c>
      <c r="K64" s="20">
        <f t="shared" si="1"/>
        <v>1</v>
      </c>
    </row>
    <row r="65" spans="1:11" x14ac:dyDescent="0.35">
      <c r="A65" s="20" t="s">
        <v>118</v>
      </c>
      <c r="B65" s="20" t="s">
        <v>136</v>
      </c>
      <c r="C65" s="20" t="s">
        <v>80</v>
      </c>
      <c r="D65" s="20" t="s">
        <v>289</v>
      </c>
      <c r="E65" s="20" t="s">
        <v>189</v>
      </c>
      <c r="F65" s="20" t="s">
        <v>290</v>
      </c>
      <c r="G65" s="20" t="s">
        <v>191</v>
      </c>
      <c r="H65" s="20">
        <v>1</v>
      </c>
      <c r="I65" s="20">
        <v>0</v>
      </c>
      <c r="J65" s="22">
        <f t="shared" si="0"/>
        <v>0</v>
      </c>
      <c r="K65" s="20">
        <f t="shared" si="1"/>
        <v>1</v>
      </c>
    </row>
    <row r="66" spans="1:11" x14ac:dyDescent="0.35">
      <c r="A66" s="20" t="s">
        <v>118</v>
      </c>
      <c r="B66" s="20" t="s">
        <v>136</v>
      </c>
      <c r="C66" s="20" t="s">
        <v>80</v>
      </c>
      <c r="D66" s="20" t="s">
        <v>291</v>
      </c>
      <c r="E66" s="20" t="s">
        <v>189</v>
      </c>
      <c r="F66" s="20" t="s">
        <v>290</v>
      </c>
      <c r="G66" s="20" t="s">
        <v>191</v>
      </c>
      <c r="H66" s="20">
        <v>1</v>
      </c>
      <c r="I66" s="20">
        <v>0</v>
      </c>
      <c r="J66" s="22">
        <f t="shared" si="0"/>
        <v>0</v>
      </c>
      <c r="K66" s="20">
        <f t="shared" si="1"/>
        <v>1</v>
      </c>
    </row>
    <row r="67" spans="1:11" x14ac:dyDescent="0.35">
      <c r="A67" s="20" t="s">
        <v>118</v>
      </c>
      <c r="B67" s="20" t="s">
        <v>136</v>
      </c>
      <c r="C67" s="20" t="s">
        <v>80</v>
      </c>
      <c r="D67" s="20" t="s">
        <v>292</v>
      </c>
      <c r="E67" s="20" t="s">
        <v>189</v>
      </c>
      <c r="F67" s="20" t="s">
        <v>293</v>
      </c>
      <c r="G67" s="20" t="s">
        <v>191</v>
      </c>
      <c r="H67" s="20">
        <v>1</v>
      </c>
      <c r="I67" s="20">
        <v>0</v>
      </c>
      <c r="J67" s="22">
        <f t="shared" si="0"/>
        <v>0</v>
      </c>
      <c r="K67" s="20">
        <f t="shared" si="1"/>
        <v>1</v>
      </c>
    </row>
    <row r="68" spans="1:11" x14ac:dyDescent="0.35">
      <c r="A68" s="20" t="s">
        <v>118</v>
      </c>
      <c r="B68" s="20" t="s">
        <v>136</v>
      </c>
      <c r="C68" s="20" t="s">
        <v>80</v>
      </c>
      <c r="D68" s="20" t="s">
        <v>294</v>
      </c>
      <c r="E68" s="20" t="s">
        <v>189</v>
      </c>
      <c r="F68" s="20" t="s">
        <v>295</v>
      </c>
      <c r="G68" s="20" t="s">
        <v>191</v>
      </c>
      <c r="H68" s="20">
        <v>1</v>
      </c>
      <c r="I68" s="20">
        <v>0</v>
      </c>
      <c r="J68" s="22">
        <f t="shared" si="0"/>
        <v>0</v>
      </c>
      <c r="K68" s="20">
        <f t="shared" si="1"/>
        <v>1</v>
      </c>
    </row>
    <row r="69" spans="1:11" ht="25" x14ac:dyDescent="0.35">
      <c r="A69" s="20" t="s">
        <v>118</v>
      </c>
      <c r="B69" s="20" t="s">
        <v>136</v>
      </c>
      <c r="C69" s="20" t="s">
        <v>80</v>
      </c>
      <c r="D69" s="20" t="s">
        <v>296</v>
      </c>
      <c r="E69" s="20" t="s">
        <v>189</v>
      </c>
      <c r="F69" s="20" t="s">
        <v>297</v>
      </c>
      <c r="G69" s="20" t="s">
        <v>191</v>
      </c>
      <c r="H69" s="20">
        <v>1</v>
      </c>
      <c r="I69" s="20">
        <v>0</v>
      </c>
      <c r="J69" s="22">
        <f t="shared" si="0"/>
        <v>0</v>
      </c>
      <c r="K69" s="20">
        <f t="shared" si="1"/>
        <v>1</v>
      </c>
    </row>
    <row r="70" spans="1:11" x14ac:dyDescent="0.35">
      <c r="A70" s="20" t="s">
        <v>118</v>
      </c>
      <c r="B70" s="20" t="s">
        <v>136</v>
      </c>
      <c r="C70" s="20" t="s">
        <v>80</v>
      </c>
      <c r="D70" s="20" t="s">
        <v>298</v>
      </c>
      <c r="E70" s="20" t="s">
        <v>189</v>
      </c>
      <c r="F70" s="20" t="s">
        <v>299</v>
      </c>
      <c r="G70" s="20" t="s">
        <v>191</v>
      </c>
      <c r="H70" s="20">
        <v>1</v>
      </c>
      <c r="I70" s="20">
        <v>0</v>
      </c>
      <c r="J70" s="22">
        <f t="shared" si="0"/>
        <v>0</v>
      </c>
      <c r="K70" s="20">
        <f t="shared" si="1"/>
        <v>1</v>
      </c>
    </row>
    <row r="71" spans="1:11" ht="25" x14ac:dyDescent="0.35">
      <c r="A71" s="20" t="s">
        <v>118</v>
      </c>
      <c r="B71" s="20" t="s">
        <v>136</v>
      </c>
      <c r="C71" s="20" t="s">
        <v>80</v>
      </c>
      <c r="D71" s="20" t="s">
        <v>300</v>
      </c>
      <c r="E71" s="20" t="s">
        <v>189</v>
      </c>
      <c r="F71" s="20" t="s">
        <v>301</v>
      </c>
      <c r="G71" s="20" t="s">
        <v>191</v>
      </c>
      <c r="H71" s="20">
        <v>1</v>
      </c>
      <c r="I71" s="20">
        <v>0</v>
      </c>
      <c r="J71" s="22">
        <f t="shared" ref="J71:J97" si="2">IFERROR(I71/H71,0)</f>
        <v>0</v>
      </c>
      <c r="K71" s="20">
        <f t="shared" ref="K71:K97" si="3">H71-I71</f>
        <v>1</v>
      </c>
    </row>
    <row r="72" spans="1:11" ht="25" x14ac:dyDescent="0.35">
      <c r="A72" s="20" t="s">
        <v>118</v>
      </c>
      <c r="B72" s="20" t="s">
        <v>136</v>
      </c>
      <c r="C72" s="20" t="s">
        <v>80</v>
      </c>
      <c r="D72" s="20" t="s">
        <v>302</v>
      </c>
      <c r="E72" s="20" t="s">
        <v>189</v>
      </c>
      <c r="F72" s="20" t="s">
        <v>303</v>
      </c>
      <c r="G72" s="20" t="s">
        <v>191</v>
      </c>
      <c r="H72" s="20">
        <v>1</v>
      </c>
      <c r="I72" s="20">
        <v>0</v>
      </c>
      <c r="J72" s="22">
        <f t="shared" si="2"/>
        <v>0</v>
      </c>
      <c r="K72" s="20">
        <f t="shared" si="3"/>
        <v>1</v>
      </c>
    </row>
    <row r="73" spans="1:11" ht="25" x14ac:dyDescent="0.35">
      <c r="A73" s="20" t="s">
        <v>118</v>
      </c>
      <c r="B73" s="20" t="s">
        <v>136</v>
      </c>
      <c r="C73" s="20" t="s">
        <v>80</v>
      </c>
      <c r="D73" s="20" t="s">
        <v>304</v>
      </c>
      <c r="E73" s="20" t="s">
        <v>189</v>
      </c>
      <c r="F73" s="20" t="s">
        <v>305</v>
      </c>
      <c r="G73" s="20" t="s">
        <v>191</v>
      </c>
      <c r="H73" s="20">
        <v>1</v>
      </c>
      <c r="I73" s="20">
        <v>0</v>
      </c>
      <c r="J73" s="22">
        <f t="shared" si="2"/>
        <v>0</v>
      </c>
      <c r="K73" s="20">
        <f t="shared" si="3"/>
        <v>1</v>
      </c>
    </row>
    <row r="74" spans="1:11" ht="25" x14ac:dyDescent="0.35">
      <c r="A74" s="20" t="s">
        <v>118</v>
      </c>
      <c r="B74" s="20" t="s">
        <v>136</v>
      </c>
      <c r="C74" s="20" t="s">
        <v>80</v>
      </c>
      <c r="D74" s="20" t="s">
        <v>306</v>
      </c>
      <c r="E74" s="20" t="s">
        <v>189</v>
      </c>
      <c r="F74" s="20" t="s">
        <v>307</v>
      </c>
      <c r="G74" s="20" t="s">
        <v>191</v>
      </c>
      <c r="H74" s="20">
        <v>1</v>
      </c>
      <c r="I74" s="20">
        <v>0</v>
      </c>
      <c r="J74" s="22">
        <f t="shared" si="2"/>
        <v>0</v>
      </c>
      <c r="K74" s="20">
        <f t="shared" si="3"/>
        <v>1</v>
      </c>
    </row>
    <row r="75" spans="1:11" ht="25" x14ac:dyDescent="0.35">
      <c r="A75" s="20" t="s">
        <v>118</v>
      </c>
      <c r="B75" s="20" t="s">
        <v>136</v>
      </c>
      <c r="C75" s="20" t="s">
        <v>80</v>
      </c>
      <c r="D75" s="20" t="s">
        <v>308</v>
      </c>
      <c r="E75" s="20" t="s">
        <v>189</v>
      </c>
      <c r="F75" s="20" t="s">
        <v>309</v>
      </c>
      <c r="G75" s="20" t="s">
        <v>191</v>
      </c>
      <c r="H75" s="20">
        <v>1</v>
      </c>
      <c r="I75" s="20">
        <v>0</v>
      </c>
      <c r="J75" s="22">
        <f t="shared" si="2"/>
        <v>0</v>
      </c>
      <c r="K75" s="20">
        <f t="shared" si="3"/>
        <v>1</v>
      </c>
    </row>
    <row r="76" spans="1:11" x14ac:dyDescent="0.35">
      <c r="A76" s="20" t="s">
        <v>118</v>
      </c>
      <c r="B76" s="20" t="s">
        <v>136</v>
      </c>
      <c r="C76" s="20" t="s">
        <v>80</v>
      </c>
      <c r="D76" s="20" t="s">
        <v>310</v>
      </c>
      <c r="E76" s="20" t="s">
        <v>189</v>
      </c>
      <c r="F76" s="20" t="s">
        <v>311</v>
      </c>
      <c r="G76" s="20" t="s">
        <v>191</v>
      </c>
      <c r="H76" s="20">
        <v>1</v>
      </c>
      <c r="I76" s="20">
        <v>0</v>
      </c>
      <c r="J76" s="22">
        <f t="shared" si="2"/>
        <v>0</v>
      </c>
      <c r="K76" s="20">
        <f t="shared" si="3"/>
        <v>1</v>
      </c>
    </row>
    <row r="77" spans="1:11" ht="25" x14ac:dyDescent="0.35">
      <c r="A77" s="20" t="s">
        <v>118</v>
      </c>
      <c r="B77" s="20" t="s">
        <v>136</v>
      </c>
      <c r="C77" s="20" t="s">
        <v>80</v>
      </c>
      <c r="D77" s="20" t="s">
        <v>312</v>
      </c>
      <c r="E77" s="20" t="s">
        <v>189</v>
      </c>
      <c r="F77" s="20" t="s">
        <v>313</v>
      </c>
      <c r="G77" s="20" t="s">
        <v>191</v>
      </c>
      <c r="H77" s="20">
        <v>1</v>
      </c>
      <c r="I77" s="20">
        <v>0</v>
      </c>
      <c r="J77" s="22">
        <f t="shared" si="2"/>
        <v>0</v>
      </c>
      <c r="K77" s="20">
        <f t="shared" si="3"/>
        <v>1</v>
      </c>
    </row>
    <row r="78" spans="1:11" x14ac:dyDescent="0.35">
      <c r="A78" s="20" t="s">
        <v>118</v>
      </c>
      <c r="B78" s="20" t="s">
        <v>136</v>
      </c>
      <c r="C78" s="20" t="s">
        <v>80</v>
      </c>
      <c r="D78" s="20" t="s">
        <v>314</v>
      </c>
      <c r="E78" s="20" t="s">
        <v>189</v>
      </c>
      <c r="F78" s="20" t="s">
        <v>315</v>
      </c>
      <c r="G78" s="20" t="s">
        <v>191</v>
      </c>
      <c r="H78" s="20">
        <v>1</v>
      </c>
      <c r="I78" s="20">
        <v>0</v>
      </c>
      <c r="J78" s="22">
        <f t="shared" si="2"/>
        <v>0</v>
      </c>
      <c r="K78" s="20">
        <f t="shared" si="3"/>
        <v>1</v>
      </c>
    </row>
    <row r="79" spans="1:11" ht="25" x14ac:dyDescent="0.35">
      <c r="A79" s="20" t="s">
        <v>118</v>
      </c>
      <c r="B79" s="20" t="s">
        <v>136</v>
      </c>
      <c r="C79" s="20" t="s">
        <v>80</v>
      </c>
      <c r="D79" s="20" t="s">
        <v>316</v>
      </c>
      <c r="E79" s="20" t="s">
        <v>189</v>
      </c>
      <c r="F79" s="20" t="s">
        <v>317</v>
      </c>
      <c r="G79" s="20" t="s">
        <v>191</v>
      </c>
      <c r="H79" s="20">
        <v>1</v>
      </c>
      <c r="I79" s="20">
        <v>0</v>
      </c>
      <c r="J79" s="22">
        <f t="shared" si="2"/>
        <v>0</v>
      </c>
      <c r="K79" s="20">
        <f t="shared" si="3"/>
        <v>1</v>
      </c>
    </row>
    <row r="80" spans="1:11" x14ac:dyDescent="0.35">
      <c r="A80" s="20" t="s">
        <v>118</v>
      </c>
      <c r="B80" s="20" t="s">
        <v>136</v>
      </c>
      <c r="C80" s="20" t="s">
        <v>80</v>
      </c>
      <c r="D80" s="20" t="s">
        <v>318</v>
      </c>
      <c r="E80" s="20" t="s">
        <v>189</v>
      </c>
      <c r="F80" s="20" t="s">
        <v>319</v>
      </c>
      <c r="G80" s="20" t="s">
        <v>191</v>
      </c>
      <c r="H80" s="20">
        <v>1</v>
      </c>
      <c r="I80" s="20">
        <v>0</v>
      </c>
      <c r="J80" s="22">
        <f t="shared" si="2"/>
        <v>0</v>
      </c>
      <c r="K80" s="20">
        <f t="shared" si="3"/>
        <v>1</v>
      </c>
    </row>
    <row r="81" spans="1:11" ht="25" x14ac:dyDescent="0.35">
      <c r="A81" s="20" t="s">
        <v>118</v>
      </c>
      <c r="B81" s="20" t="s">
        <v>136</v>
      </c>
      <c r="C81" s="20" t="s">
        <v>80</v>
      </c>
      <c r="D81" s="20" t="s">
        <v>320</v>
      </c>
      <c r="E81" s="20" t="s">
        <v>189</v>
      </c>
      <c r="F81" s="20" t="s">
        <v>319</v>
      </c>
      <c r="G81" s="20" t="s">
        <v>191</v>
      </c>
      <c r="H81" s="20">
        <v>1</v>
      </c>
      <c r="I81" s="20">
        <v>0</v>
      </c>
      <c r="J81" s="22">
        <f t="shared" si="2"/>
        <v>0</v>
      </c>
      <c r="K81" s="20">
        <f t="shared" si="3"/>
        <v>1</v>
      </c>
    </row>
    <row r="82" spans="1:11" x14ac:dyDescent="0.35">
      <c r="A82" s="20" t="s">
        <v>118</v>
      </c>
      <c r="B82" s="20" t="s">
        <v>136</v>
      </c>
      <c r="C82" s="20" t="s">
        <v>80</v>
      </c>
      <c r="D82" s="20" t="s">
        <v>321</v>
      </c>
      <c r="E82" s="20" t="s">
        <v>189</v>
      </c>
      <c r="F82" s="20" t="s">
        <v>322</v>
      </c>
      <c r="G82" s="20" t="s">
        <v>191</v>
      </c>
      <c r="H82" s="20">
        <v>1</v>
      </c>
      <c r="I82" s="20">
        <v>0</v>
      </c>
      <c r="J82" s="22">
        <f t="shared" si="2"/>
        <v>0</v>
      </c>
      <c r="K82" s="20">
        <f t="shared" si="3"/>
        <v>1</v>
      </c>
    </row>
    <row r="83" spans="1:11" ht="25" x14ac:dyDescent="0.35">
      <c r="A83" s="20" t="s">
        <v>118</v>
      </c>
      <c r="B83" s="20" t="s">
        <v>136</v>
      </c>
      <c r="C83" s="20" t="s">
        <v>80</v>
      </c>
      <c r="D83" s="20" t="s">
        <v>323</v>
      </c>
      <c r="E83" s="20" t="s">
        <v>189</v>
      </c>
      <c r="F83" s="20" t="s">
        <v>322</v>
      </c>
      <c r="G83" s="20" t="s">
        <v>191</v>
      </c>
      <c r="H83" s="20">
        <v>1</v>
      </c>
      <c r="I83" s="20">
        <v>0</v>
      </c>
      <c r="J83" s="22">
        <f t="shared" si="2"/>
        <v>0</v>
      </c>
      <c r="K83" s="20">
        <f t="shared" si="3"/>
        <v>1</v>
      </c>
    </row>
    <row r="84" spans="1:11" ht="25" x14ac:dyDescent="0.35">
      <c r="A84" s="20" t="s">
        <v>118</v>
      </c>
      <c r="B84" s="20" t="s">
        <v>136</v>
      </c>
      <c r="C84" s="20" t="s">
        <v>80</v>
      </c>
      <c r="D84" s="20" t="s">
        <v>324</v>
      </c>
      <c r="E84" s="20" t="s">
        <v>189</v>
      </c>
      <c r="F84" s="20" t="s">
        <v>325</v>
      </c>
      <c r="G84" s="20" t="s">
        <v>191</v>
      </c>
      <c r="H84" s="20">
        <v>1</v>
      </c>
      <c r="I84" s="20">
        <v>0</v>
      </c>
      <c r="J84" s="22">
        <f t="shared" si="2"/>
        <v>0</v>
      </c>
      <c r="K84" s="20">
        <f t="shared" si="3"/>
        <v>1</v>
      </c>
    </row>
    <row r="85" spans="1:11" x14ac:dyDescent="0.35">
      <c r="A85" s="20" t="s">
        <v>118</v>
      </c>
      <c r="B85" s="20" t="s">
        <v>136</v>
      </c>
      <c r="C85" s="20" t="s">
        <v>80</v>
      </c>
      <c r="D85" s="20" t="s">
        <v>326</v>
      </c>
      <c r="E85" s="20" t="s">
        <v>189</v>
      </c>
      <c r="F85" s="20" t="s">
        <v>327</v>
      </c>
      <c r="G85" s="20" t="s">
        <v>191</v>
      </c>
      <c r="H85" s="20">
        <v>1</v>
      </c>
      <c r="I85" s="20">
        <v>0</v>
      </c>
      <c r="J85" s="22">
        <f t="shared" si="2"/>
        <v>0</v>
      </c>
      <c r="K85" s="20">
        <f t="shared" si="3"/>
        <v>1</v>
      </c>
    </row>
    <row r="86" spans="1:11" x14ac:dyDescent="0.35">
      <c r="A86" s="20" t="s">
        <v>118</v>
      </c>
      <c r="B86" s="20" t="s">
        <v>136</v>
      </c>
      <c r="C86" s="20" t="s">
        <v>80</v>
      </c>
      <c r="D86" s="20" t="s">
        <v>328</v>
      </c>
      <c r="E86" s="20" t="s">
        <v>189</v>
      </c>
      <c r="F86" s="20" t="s">
        <v>329</v>
      </c>
      <c r="G86" s="20" t="s">
        <v>191</v>
      </c>
      <c r="H86" s="20">
        <v>1</v>
      </c>
      <c r="I86" s="20">
        <v>0</v>
      </c>
      <c r="J86" s="22">
        <f t="shared" si="2"/>
        <v>0</v>
      </c>
      <c r="K86" s="20">
        <f t="shared" si="3"/>
        <v>1</v>
      </c>
    </row>
    <row r="87" spans="1:11" x14ac:dyDescent="0.35">
      <c r="A87" s="20" t="s">
        <v>118</v>
      </c>
      <c r="B87" s="20" t="s">
        <v>136</v>
      </c>
      <c r="C87" s="20" t="s">
        <v>80</v>
      </c>
      <c r="D87" s="20" t="s">
        <v>330</v>
      </c>
      <c r="E87" s="20" t="s">
        <v>189</v>
      </c>
      <c r="F87" s="20" t="s">
        <v>331</v>
      </c>
      <c r="G87" s="20" t="s">
        <v>191</v>
      </c>
      <c r="H87" s="20">
        <v>1</v>
      </c>
      <c r="I87" s="20">
        <v>0</v>
      </c>
      <c r="J87" s="22">
        <f t="shared" si="2"/>
        <v>0</v>
      </c>
      <c r="K87" s="20">
        <f t="shared" si="3"/>
        <v>1</v>
      </c>
    </row>
    <row r="88" spans="1:11" x14ac:dyDescent="0.35">
      <c r="A88" s="20" t="s">
        <v>118</v>
      </c>
      <c r="B88" s="20" t="s">
        <v>136</v>
      </c>
      <c r="C88" s="20" t="s">
        <v>80</v>
      </c>
      <c r="D88" s="20" t="s">
        <v>332</v>
      </c>
      <c r="E88" s="20" t="s">
        <v>189</v>
      </c>
      <c r="F88" s="20" t="s">
        <v>333</v>
      </c>
      <c r="G88" s="20" t="s">
        <v>191</v>
      </c>
      <c r="H88" s="20">
        <v>1</v>
      </c>
      <c r="I88" s="20">
        <v>0</v>
      </c>
      <c r="J88" s="22">
        <f t="shared" si="2"/>
        <v>0</v>
      </c>
      <c r="K88" s="20">
        <f t="shared" si="3"/>
        <v>1</v>
      </c>
    </row>
    <row r="89" spans="1:11" x14ac:dyDescent="0.35">
      <c r="A89" s="20" t="s">
        <v>118</v>
      </c>
      <c r="B89" s="20" t="s">
        <v>136</v>
      </c>
      <c r="C89" s="20" t="s">
        <v>80</v>
      </c>
      <c r="D89" s="20" t="s">
        <v>334</v>
      </c>
      <c r="E89" s="20" t="s">
        <v>189</v>
      </c>
      <c r="F89" s="20" t="s">
        <v>335</v>
      </c>
      <c r="G89" s="20" t="s">
        <v>191</v>
      </c>
      <c r="H89" s="20">
        <v>1</v>
      </c>
      <c r="I89" s="20">
        <v>0</v>
      </c>
      <c r="J89" s="22">
        <f t="shared" si="2"/>
        <v>0</v>
      </c>
      <c r="K89" s="20">
        <f t="shared" si="3"/>
        <v>1</v>
      </c>
    </row>
    <row r="90" spans="1:11" x14ac:dyDescent="0.35">
      <c r="A90" s="20" t="s">
        <v>118</v>
      </c>
      <c r="B90" s="20" t="s">
        <v>136</v>
      </c>
      <c r="C90" s="20" t="s">
        <v>80</v>
      </c>
      <c r="D90" s="20" t="s">
        <v>336</v>
      </c>
      <c r="E90" s="20" t="s">
        <v>189</v>
      </c>
      <c r="F90" s="20" t="s">
        <v>337</v>
      </c>
      <c r="G90" s="20" t="s">
        <v>191</v>
      </c>
      <c r="H90" s="20">
        <v>1</v>
      </c>
      <c r="I90" s="20">
        <v>0</v>
      </c>
      <c r="J90" s="22">
        <f t="shared" si="2"/>
        <v>0</v>
      </c>
      <c r="K90" s="20">
        <f t="shared" si="3"/>
        <v>1</v>
      </c>
    </row>
    <row r="91" spans="1:11" x14ac:dyDescent="0.35">
      <c r="A91" s="20" t="s">
        <v>118</v>
      </c>
      <c r="B91" s="20" t="s">
        <v>136</v>
      </c>
      <c r="C91" s="20" t="s">
        <v>80</v>
      </c>
      <c r="D91" s="20" t="s">
        <v>338</v>
      </c>
      <c r="E91" s="20" t="s">
        <v>189</v>
      </c>
      <c r="F91" s="20" t="s">
        <v>339</v>
      </c>
      <c r="G91" s="20" t="s">
        <v>191</v>
      </c>
      <c r="H91" s="20">
        <v>1</v>
      </c>
      <c r="I91" s="20">
        <v>0</v>
      </c>
      <c r="J91" s="22">
        <f t="shared" si="2"/>
        <v>0</v>
      </c>
      <c r="K91" s="20">
        <f t="shared" si="3"/>
        <v>1</v>
      </c>
    </row>
    <row r="92" spans="1:11" x14ac:dyDescent="0.35">
      <c r="A92" s="20" t="s">
        <v>118</v>
      </c>
      <c r="B92" s="20" t="s">
        <v>136</v>
      </c>
      <c r="C92" s="20" t="s">
        <v>80</v>
      </c>
      <c r="D92" s="20" t="s">
        <v>340</v>
      </c>
      <c r="E92" s="20" t="s">
        <v>189</v>
      </c>
      <c r="F92" s="20" t="s">
        <v>341</v>
      </c>
      <c r="G92" s="20" t="s">
        <v>191</v>
      </c>
      <c r="H92" s="20">
        <v>1</v>
      </c>
      <c r="I92" s="20">
        <v>0</v>
      </c>
      <c r="J92" s="22">
        <f t="shared" si="2"/>
        <v>0</v>
      </c>
      <c r="K92" s="20">
        <f t="shared" si="3"/>
        <v>1</v>
      </c>
    </row>
    <row r="93" spans="1:11" x14ac:dyDescent="0.35">
      <c r="A93" s="20" t="s">
        <v>118</v>
      </c>
      <c r="B93" s="20" t="s">
        <v>136</v>
      </c>
      <c r="C93" s="20" t="s">
        <v>80</v>
      </c>
      <c r="D93" s="20" t="s">
        <v>342</v>
      </c>
      <c r="E93" s="20" t="s">
        <v>189</v>
      </c>
      <c r="F93" s="20" t="s">
        <v>343</v>
      </c>
      <c r="G93" s="20" t="s">
        <v>191</v>
      </c>
      <c r="H93" s="20">
        <v>1</v>
      </c>
      <c r="I93" s="20">
        <v>0</v>
      </c>
      <c r="J93" s="22">
        <f t="shared" si="2"/>
        <v>0</v>
      </c>
      <c r="K93" s="20">
        <f t="shared" si="3"/>
        <v>1</v>
      </c>
    </row>
    <row r="94" spans="1:11" x14ac:dyDescent="0.35">
      <c r="A94" s="20" t="s">
        <v>118</v>
      </c>
      <c r="B94" s="20" t="s">
        <v>136</v>
      </c>
      <c r="C94" s="20" t="s">
        <v>80</v>
      </c>
      <c r="D94" s="20" t="s">
        <v>344</v>
      </c>
      <c r="E94" s="20" t="s">
        <v>189</v>
      </c>
      <c r="F94" s="20" t="s">
        <v>345</v>
      </c>
      <c r="G94" s="20" t="s">
        <v>191</v>
      </c>
      <c r="H94" s="20">
        <v>1</v>
      </c>
      <c r="I94" s="20">
        <v>0</v>
      </c>
      <c r="J94" s="22">
        <f t="shared" si="2"/>
        <v>0</v>
      </c>
      <c r="K94" s="20">
        <f t="shared" si="3"/>
        <v>1</v>
      </c>
    </row>
    <row r="95" spans="1:11" ht="25" x14ac:dyDescent="0.35">
      <c r="A95" s="20" t="s">
        <v>118</v>
      </c>
      <c r="B95" s="20" t="s">
        <v>136</v>
      </c>
      <c r="C95" s="20" t="s">
        <v>80</v>
      </c>
      <c r="D95" s="20" t="s">
        <v>346</v>
      </c>
      <c r="E95" s="20" t="s">
        <v>189</v>
      </c>
      <c r="F95" s="20" t="s">
        <v>347</v>
      </c>
      <c r="G95" s="20" t="s">
        <v>191</v>
      </c>
      <c r="H95" s="20">
        <v>1</v>
      </c>
      <c r="I95" s="20">
        <v>0</v>
      </c>
      <c r="J95" s="22">
        <f t="shared" si="2"/>
        <v>0</v>
      </c>
      <c r="K95" s="20">
        <f t="shared" si="3"/>
        <v>1</v>
      </c>
    </row>
    <row r="96" spans="1:11" ht="25" x14ac:dyDescent="0.35">
      <c r="A96" s="20" t="s">
        <v>118</v>
      </c>
      <c r="B96" s="20" t="s">
        <v>136</v>
      </c>
      <c r="C96" s="20" t="s">
        <v>80</v>
      </c>
      <c r="D96" s="20" t="s">
        <v>348</v>
      </c>
      <c r="E96" s="20" t="s">
        <v>189</v>
      </c>
      <c r="F96" s="20" t="s">
        <v>349</v>
      </c>
      <c r="G96" s="20" t="s">
        <v>191</v>
      </c>
      <c r="H96" s="20">
        <v>1</v>
      </c>
      <c r="I96" s="20">
        <v>0</v>
      </c>
      <c r="J96" s="22">
        <f t="shared" si="2"/>
        <v>0</v>
      </c>
      <c r="K96" s="20">
        <f t="shared" si="3"/>
        <v>1</v>
      </c>
    </row>
    <row r="97" spans="1:11" x14ac:dyDescent="0.35">
      <c r="A97" s="20" t="s">
        <v>118</v>
      </c>
      <c r="B97" s="20" t="s">
        <v>136</v>
      </c>
      <c r="C97" s="20" t="s">
        <v>80</v>
      </c>
      <c r="D97" s="20" t="s">
        <v>350</v>
      </c>
      <c r="E97" s="20" t="s">
        <v>189</v>
      </c>
      <c r="F97" s="20" t="s">
        <v>351</v>
      </c>
      <c r="G97" s="20" t="s">
        <v>191</v>
      </c>
      <c r="H97" s="20">
        <v>1</v>
      </c>
      <c r="I97" s="20">
        <v>0</v>
      </c>
      <c r="J97" s="22">
        <f t="shared" si="2"/>
        <v>0</v>
      </c>
      <c r="K97" s="20">
        <f t="shared" si="3"/>
        <v>1</v>
      </c>
    </row>
    <row r="98" spans="1:11" x14ac:dyDescent="0.35">
      <c r="A98" s="20" t="s">
        <v>118</v>
      </c>
      <c r="B98" s="20" t="s">
        <v>136</v>
      </c>
      <c r="C98" s="20" t="s">
        <v>80</v>
      </c>
      <c r="D98" s="20" t="s">
        <v>352</v>
      </c>
      <c r="E98" s="20" t="s">
        <v>189</v>
      </c>
      <c r="F98" s="20" t="s">
        <v>353</v>
      </c>
      <c r="G98" s="20" t="s">
        <v>191</v>
      </c>
      <c r="H98" s="20">
        <v>1</v>
      </c>
      <c r="I98" s="20">
        <v>0</v>
      </c>
      <c r="J98" s="22">
        <f>IFERROR(I98/H98,0)</f>
        <v>0</v>
      </c>
      <c r="K98" s="20">
        <f>H98-I98</f>
        <v>1</v>
      </c>
    </row>
    <row r="99" spans="1:11" x14ac:dyDescent="0.35">
      <c r="A99" s="20" t="s">
        <v>121</v>
      </c>
      <c r="B99" s="20" t="s">
        <v>136</v>
      </c>
      <c r="C99" s="20" t="s">
        <v>80</v>
      </c>
      <c r="D99" s="20" t="s">
        <v>237</v>
      </c>
      <c r="E99" s="20" t="s">
        <v>238</v>
      </c>
      <c r="F99" s="20" t="s">
        <v>354</v>
      </c>
      <c r="G99" s="20" t="s">
        <v>191</v>
      </c>
      <c r="H99" s="20">
        <v>1</v>
      </c>
      <c r="I99" s="20">
        <v>0</v>
      </c>
      <c r="J99" s="22">
        <f>IFERROR(I99/H99,0)</f>
        <v>0</v>
      </c>
      <c r="K99" s="20">
        <f>H99-I99</f>
        <v>1</v>
      </c>
    </row>
    <row r="100" spans="1:11" x14ac:dyDescent="0.35">
      <c r="A100" s="20" t="s">
        <v>121</v>
      </c>
      <c r="B100" s="20" t="s">
        <v>136</v>
      </c>
      <c r="C100" s="20" t="s">
        <v>80</v>
      </c>
      <c r="D100" s="20" t="s">
        <v>237</v>
      </c>
      <c r="E100" s="20" t="s">
        <v>238</v>
      </c>
      <c r="F100" s="20" t="s">
        <v>355</v>
      </c>
      <c r="G100" s="20" t="s">
        <v>191</v>
      </c>
      <c r="H100" s="20">
        <v>1</v>
      </c>
      <c r="I100" s="20">
        <v>0</v>
      </c>
      <c r="J100" s="22">
        <f t="shared" ref="J100:J163" si="4">IFERROR(I100/H100,0)</f>
        <v>0</v>
      </c>
      <c r="K100" s="20">
        <f t="shared" ref="K100:K163" si="5">H100-I100</f>
        <v>1</v>
      </c>
    </row>
    <row r="101" spans="1:11" x14ac:dyDescent="0.35">
      <c r="A101" s="20" t="s">
        <v>121</v>
      </c>
      <c r="B101" s="20" t="s">
        <v>136</v>
      </c>
      <c r="C101" s="20" t="s">
        <v>80</v>
      </c>
      <c r="D101" s="20" t="s">
        <v>237</v>
      </c>
      <c r="E101" s="20" t="s">
        <v>238</v>
      </c>
      <c r="F101" s="20" t="s">
        <v>356</v>
      </c>
      <c r="G101" s="20" t="s">
        <v>191</v>
      </c>
      <c r="H101" s="20">
        <v>1</v>
      </c>
      <c r="I101" s="20">
        <v>0</v>
      </c>
      <c r="J101" s="22">
        <f t="shared" si="4"/>
        <v>0</v>
      </c>
      <c r="K101" s="20">
        <f t="shared" si="5"/>
        <v>1</v>
      </c>
    </row>
    <row r="102" spans="1:11" x14ac:dyDescent="0.35">
      <c r="A102" s="20" t="s">
        <v>121</v>
      </c>
      <c r="B102" s="20" t="s">
        <v>136</v>
      </c>
      <c r="C102" s="20" t="s">
        <v>80</v>
      </c>
      <c r="D102" s="20" t="s">
        <v>237</v>
      </c>
      <c r="E102" s="20" t="s">
        <v>238</v>
      </c>
      <c r="F102" s="20" t="s">
        <v>357</v>
      </c>
      <c r="G102" s="20" t="s">
        <v>191</v>
      </c>
      <c r="H102" s="20">
        <v>1</v>
      </c>
      <c r="I102" s="20">
        <v>0</v>
      </c>
      <c r="J102" s="22">
        <f t="shared" si="4"/>
        <v>0</v>
      </c>
      <c r="K102" s="20">
        <f t="shared" si="5"/>
        <v>1</v>
      </c>
    </row>
    <row r="103" spans="1:11" x14ac:dyDescent="0.35">
      <c r="A103" s="20" t="s">
        <v>121</v>
      </c>
      <c r="B103" s="20" t="s">
        <v>136</v>
      </c>
      <c r="C103" s="20" t="s">
        <v>80</v>
      </c>
      <c r="D103" s="20" t="s">
        <v>237</v>
      </c>
      <c r="E103" s="20" t="s">
        <v>238</v>
      </c>
      <c r="F103" s="20" t="s">
        <v>358</v>
      </c>
      <c r="G103" s="20" t="s">
        <v>191</v>
      </c>
      <c r="H103" s="20">
        <v>1</v>
      </c>
      <c r="I103" s="20">
        <v>0</v>
      </c>
      <c r="J103" s="22">
        <f t="shared" si="4"/>
        <v>0</v>
      </c>
      <c r="K103" s="20">
        <f t="shared" si="5"/>
        <v>1</v>
      </c>
    </row>
    <row r="104" spans="1:11" x14ac:dyDescent="0.35">
      <c r="A104" s="20" t="s">
        <v>121</v>
      </c>
      <c r="B104" s="20" t="s">
        <v>136</v>
      </c>
      <c r="C104" s="20" t="s">
        <v>80</v>
      </c>
      <c r="D104" s="20" t="s">
        <v>237</v>
      </c>
      <c r="E104" s="20" t="s">
        <v>238</v>
      </c>
      <c r="F104" s="20" t="s">
        <v>359</v>
      </c>
      <c r="G104" s="20" t="s">
        <v>191</v>
      </c>
      <c r="H104" s="20">
        <v>1</v>
      </c>
      <c r="I104" s="20">
        <v>0</v>
      </c>
      <c r="J104" s="22">
        <f t="shared" si="4"/>
        <v>0</v>
      </c>
      <c r="K104" s="20">
        <f t="shared" si="5"/>
        <v>1</v>
      </c>
    </row>
    <row r="105" spans="1:11" x14ac:dyDescent="0.35">
      <c r="A105" s="20" t="s">
        <v>121</v>
      </c>
      <c r="B105" s="20" t="s">
        <v>136</v>
      </c>
      <c r="C105" s="20" t="s">
        <v>80</v>
      </c>
      <c r="D105" s="20" t="s">
        <v>237</v>
      </c>
      <c r="E105" s="20" t="s">
        <v>238</v>
      </c>
      <c r="F105" s="20" t="s">
        <v>360</v>
      </c>
      <c r="G105" s="20" t="s">
        <v>191</v>
      </c>
      <c r="H105" s="20">
        <v>1</v>
      </c>
      <c r="I105" s="20">
        <v>1</v>
      </c>
      <c r="J105" s="22">
        <f t="shared" si="4"/>
        <v>1</v>
      </c>
      <c r="K105" s="20">
        <f t="shared" si="5"/>
        <v>0</v>
      </c>
    </row>
    <row r="106" spans="1:11" x14ac:dyDescent="0.35">
      <c r="A106" s="20" t="s">
        <v>124</v>
      </c>
      <c r="B106" s="20" t="s">
        <v>136</v>
      </c>
      <c r="C106" s="20" t="s">
        <v>80</v>
      </c>
      <c r="D106" s="20" t="s">
        <v>241</v>
      </c>
      <c r="E106" s="20" t="s">
        <v>182</v>
      </c>
      <c r="F106" s="20" t="s">
        <v>361</v>
      </c>
      <c r="G106" s="20" t="s">
        <v>184</v>
      </c>
      <c r="H106" s="20">
        <v>1</v>
      </c>
      <c r="I106" s="20">
        <v>0</v>
      </c>
      <c r="J106" s="22">
        <f t="shared" si="4"/>
        <v>0</v>
      </c>
      <c r="K106" s="20">
        <f t="shared" si="5"/>
        <v>1</v>
      </c>
    </row>
    <row r="107" spans="1:11" x14ac:dyDescent="0.35">
      <c r="A107" s="20" t="s">
        <v>124</v>
      </c>
      <c r="B107" s="20" t="s">
        <v>136</v>
      </c>
      <c r="C107" s="20" t="s">
        <v>80</v>
      </c>
      <c r="D107" s="20" t="s">
        <v>241</v>
      </c>
      <c r="E107" s="20" t="s">
        <v>182</v>
      </c>
      <c r="F107" s="20" t="s">
        <v>362</v>
      </c>
      <c r="G107" s="20" t="s">
        <v>184</v>
      </c>
      <c r="H107" s="20">
        <v>1</v>
      </c>
      <c r="I107" s="20">
        <v>0</v>
      </c>
      <c r="J107" s="22">
        <f t="shared" si="4"/>
        <v>0</v>
      </c>
      <c r="K107" s="20">
        <f t="shared" si="5"/>
        <v>1</v>
      </c>
    </row>
    <row r="108" spans="1:11" x14ac:dyDescent="0.35">
      <c r="A108" s="20" t="s">
        <v>124</v>
      </c>
      <c r="B108" s="20" t="s">
        <v>136</v>
      </c>
      <c r="C108" s="20" t="s">
        <v>80</v>
      </c>
      <c r="D108" s="20" t="s">
        <v>241</v>
      </c>
      <c r="E108" s="20" t="s">
        <v>182</v>
      </c>
      <c r="F108" s="20" t="s">
        <v>363</v>
      </c>
      <c r="G108" s="20" t="s">
        <v>184</v>
      </c>
      <c r="H108" s="20">
        <v>1</v>
      </c>
      <c r="I108" s="20">
        <v>0</v>
      </c>
      <c r="J108" s="22">
        <f t="shared" si="4"/>
        <v>0</v>
      </c>
      <c r="K108" s="20">
        <f t="shared" si="5"/>
        <v>1</v>
      </c>
    </row>
    <row r="109" spans="1:11" x14ac:dyDescent="0.35">
      <c r="A109" s="20" t="s">
        <v>124</v>
      </c>
      <c r="B109" s="20" t="s">
        <v>136</v>
      </c>
      <c r="C109" s="20" t="s">
        <v>80</v>
      </c>
      <c r="D109" s="20" t="s">
        <v>241</v>
      </c>
      <c r="E109" s="20" t="s">
        <v>182</v>
      </c>
      <c r="F109" s="20" t="s">
        <v>364</v>
      </c>
      <c r="G109" s="20" t="s">
        <v>184</v>
      </c>
      <c r="H109" s="20">
        <v>1</v>
      </c>
      <c r="I109" s="20">
        <v>0</v>
      </c>
      <c r="J109" s="22">
        <f t="shared" si="4"/>
        <v>0</v>
      </c>
      <c r="K109" s="20">
        <f t="shared" si="5"/>
        <v>1</v>
      </c>
    </row>
    <row r="110" spans="1:11" x14ac:dyDescent="0.35">
      <c r="A110" s="20" t="s">
        <v>365</v>
      </c>
      <c r="B110" s="20" t="s">
        <v>136</v>
      </c>
      <c r="C110" s="20" t="s">
        <v>80</v>
      </c>
      <c r="D110" s="20" t="s">
        <v>241</v>
      </c>
      <c r="E110" s="20" t="s">
        <v>182</v>
      </c>
      <c r="F110" s="20" t="s">
        <v>366</v>
      </c>
      <c r="G110" s="20" t="s">
        <v>184</v>
      </c>
      <c r="H110" s="20">
        <v>1</v>
      </c>
      <c r="I110" s="20">
        <v>0</v>
      </c>
      <c r="J110" s="22">
        <f t="shared" si="4"/>
        <v>0</v>
      </c>
      <c r="K110" s="20">
        <f t="shared" si="5"/>
        <v>1</v>
      </c>
    </row>
    <row r="111" spans="1:11" x14ac:dyDescent="0.35">
      <c r="A111" s="20" t="s">
        <v>124</v>
      </c>
      <c r="B111" s="20" t="s">
        <v>136</v>
      </c>
      <c r="C111" s="20" t="s">
        <v>80</v>
      </c>
      <c r="D111" s="20" t="s">
        <v>241</v>
      </c>
      <c r="E111" s="20" t="s">
        <v>182</v>
      </c>
      <c r="F111" s="20" t="s">
        <v>367</v>
      </c>
      <c r="G111" s="20" t="s">
        <v>184</v>
      </c>
      <c r="H111" s="20">
        <v>1</v>
      </c>
      <c r="I111" s="20">
        <v>0</v>
      </c>
      <c r="J111" s="22">
        <f t="shared" si="4"/>
        <v>0</v>
      </c>
      <c r="K111" s="20">
        <f t="shared" si="5"/>
        <v>1</v>
      </c>
    </row>
    <row r="112" spans="1:11" x14ac:dyDescent="0.35">
      <c r="A112" s="20" t="s">
        <v>124</v>
      </c>
      <c r="B112" s="20" t="s">
        <v>136</v>
      </c>
      <c r="C112" s="20" t="s">
        <v>80</v>
      </c>
      <c r="D112" s="20" t="s">
        <v>241</v>
      </c>
      <c r="E112" s="20" t="s">
        <v>182</v>
      </c>
      <c r="F112" s="20" t="s">
        <v>355</v>
      </c>
      <c r="G112" s="20" t="s">
        <v>184</v>
      </c>
      <c r="H112" s="20">
        <v>2</v>
      </c>
      <c r="I112" s="20">
        <v>0</v>
      </c>
      <c r="J112" s="22">
        <f t="shared" si="4"/>
        <v>0</v>
      </c>
      <c r="K112" s="20">
        <f t="shared" si="5"/>
        <v>2</v>
      </c>
    </row>
    <row r="113" spans="1:11" x14ac:dyDescent="0.35">
      <c r="A113" s="20" t="s">
        <v>127</v>
      </c>
      <c r="B113" s="20" t="s">
        <v>136</v>
      </c>
      <c r="C113" s="20" t="s">
        <v>80</v>
      </c>
      <c r="D113" s="20" t="s">
        <v>244</v>
      </c>
      <c r="E113" s="20" t="s">
        <v>182</v>
      </c>
      <c r="F113" s="20" t="s">
        <v>368</v>
      </c>
      <c r="G113" s="20" t="s">
        <v>184</v>
      </c>
      <c r="H113" s="20">
        <v>22</v>
      </c>
      <c r="I113" s="20">
        <v>0</v>
      </c>
      <c r="J113" s="22">
        <f t="shared" si="4"/>
        <v>0</v>
      </c>
      <c r="K113" s="20">
        <f t="shared" si="5"/>
        <v>22</v>
      </c>
    </row>
    <row r="114" spans="1:11" ht="17.5" customHeight="1" x14ac:dyDescent="0.35">
      <c r="A114" s="20" t="s">
        <v>134</v>
      </c>
      <c r="B114" s="20" t="s">
        <v>136</v>
      </c>
      <c r="C114" s="20" t="s">
        <v>80</v>
      </c>
      <c r="D114" s="20" t="s">
        <v>369</v>
      </c>
      <c r="E114" s="20" t="s">
        <v>135</v>
      </c>
      <c r="F114" s="20"/>
      <c r="G114" s="20" t="s">
        <v>370</v>
      </c>
      <c r="H114" s="20">
        <v>19</v>
      </c>
      <c r="I114" s="20">
        <v>1</v>
      </c>
      <c r="J114" s="22">
        <f t="shared" si="4"/>
        <v>5.2631578947368418E-2</v>
      </c>
      <c r="K114" s="20">
        <f t="shared" si="5"/>
        <v>18</v>
      </c>
    </row>
    <row r="115" spans="1:11" x14ac:dyDescent="0.35">
      <c r="A115" s="20" t="s">
        <v>77</v>
      </c>
      <c r="B115" s="20" t="s">
        <v>136</v>
      </c>
      <c r="C115" s="20" t="s">
        <v>133</v>
      </c>
      <c r="D115" s="20" t="s">
        <v>79</v>
      </c>
      <c r="E115" s="20" t="s">
        <v>247</v>
      </c>
      <c r="F115" s="20" t="s">
        <v>247</v>
      </c>
      <c r="G115" s="20" t="s">
        <v>79</v>
      </c>
      <c r="H115" s="20">
        <v>1</v>
      </c>
      <c r="I115" s="20">
        <v>1</v>
      </c>
      <c r="J115" s="22">
        <f t="shared" si="4"/>
        <v>1</v>
      </c>
      <c r="K115" s="20">
        <f t="shared" si="5"/>
        <v>0</v>
      </c>
    </row>
    <row r="116" spans="1:11" x14ac:dyDescent="0.35">
      <c r="A116" s="20" t="s">
        <v>88</v>
      </c>
      <c r="B116" s="20" t="s">
        <v>136</v>
      </c>
      <c r="C116" s="20" t="s">
        <v>133</v>
      </c>
      <c r="D116" s="20" t="s">
        <v>249</v>
      </c>
      <c r="E116" s="20" t="s">
        <v>247</v>
      </c>
      <c r="F116" s="20" t="s">
        <v>247</v>
      </c>
      <c r="G116" s="20" t="s">
        <v>249</v>
      </c>
      <c r="H116" s="20">
        <v>1</v>
      </c>
      <c r="I116" s="20">
        <v>1</v>
      </c>
      <c r="J116" s="22">
        <f t="shared" si="4"/>
        <v>1</v>
      </c>
      <c r="K116" s="20">
        <f t="shared" si="5"/>
        <v>0</v>
      </c>
    </row>
    <row r="117" spans="1:11" x14ac:dyDescent="0.35">
      <c r="A117" s="20" t="s">
        <v>92</v>
      </c>
      <c r="B117" s="20" t="s">
        <v>136</v>
      </c>
      <c r="C117" s="20" t="s">
        <v>133</v>
      </c>
      <c r="D117" s="20" t="s">
        <v>371</v>
      </c>
      <c r="E117" s="20" t="s">
        <v>247</v>
      </c>
      <c r="F117" s="20" t="s">
        <v>247</v>
      </c>
      <c r="G117" s="20" t="s">
        <v>251</v>
      </c>
      <c r="H117" s="20">
        <v>1</v>
      </c>
      <c r="I117" s="20">
        <v>0</v>
      </c>
      <c r="J117" s="22">
        <f t="shared" si="4"/>
        <v>0</v>
      </c>
      <c r="K117" s="20">
        <f t="shared" si="5"/>
        <v>1</v>
      </c>
    </row>
    <row r="118" spans="1:11" x14ac:dyDescent="0.35">
      <c r="A118" s="20" t="s">
        <v>95</v>
      </c>
      <c r="B118" s="20" t="s">
        <v>136</v>
      </c>
      <c r="C118" s="20" t="s">
        <v>133</v>
      </c>
      <c r="D118" s="20" t="s">
        <v>372</v>
      </c>
      <c r="E118" s="20" t="s">
        <v>247</v>
      </c>
      <c r="F118" s="20" t="s">
        <v>247</v>
      </c>
      <c r="G118" s="20" t="s">
        <v>373</v>
      </c>
      <c r="H118" s="20">
        <v>1</v>
      </c>
      <c r="I118" s="20">
        <v>0</v>
      </c>
      <c r="J118" s="22">
        <f t="shared" si="4"/>
        <v>0</v>
      </c>
      <c r="K118" s="20">
        <f t="shared" si="5"/>
        <v>1</v>
      </c>
    </row>
    <row r="119" spans="1:11" x14ac:dyDescent="0.35">
      <c r="A119" s="20" t="s">
        <v>100</v>
      </c>
      <c r="B119" s="20" t="s">
        <v>136</v>
      </c>
      <c r="C119" s="20" t="s">
        <v>133</v>
      </c>
      <c r="D119" s="20" t="s">
        <v>101</v>
      </c>
      <c r="E119" s="20" t="s">
        <v>247</v>
      </c>
      <c r="F119" s="20" t="s">
        <v>247</v>
      </c>
      <c r="G119" s="20" t="s">
        <v>374</v>
      </c>
      <c r="H119" s="20">
        <v>0</v>
      </c>
      <c r="I119" s="20">
        <v>0</v>
      </c>
      <c r="J119" s="22">
        <f t="shared" si="4"/>
        <v>0</v>
      </c>
      <c r="K119" s="20">
        <f t="shared" si="5"/>
        <v>0</v>
      </c>
    </row>
    <row r="120" spans="1:11" x14ac:dyDescent="0.35">
      <c r="A120" s="20" t="s">
        <v>105</v>
      </c>
      <c r="B120" s="20" t="s">
        <v>136</v>
      </c>
      <c r="C120" s="20" t="s">
        <v>133</v>
      </c>
      <c r="D120" s="20" t="s">
        <v>375</v>
      </c>
      <c r="E120" s="20" t="s">
        <v>247</v>
      </c>
      <c r="F120" s="20" t="s">
        <v>247</v>
      </c>
      <c r="G120" s="20" t="s">
        <v>376</v>
      </c>
      <c r="H120" s="20">
        <v>1</v>
      </c>
      <c r="I120" s="20">
        <v>0</v>
      </c>
      <c r="J120" s="22">
        <f t="shared" si="4"/>
        <v>0</v>
      </c>
      <c r="K120" s="20">
        <f t="shared" si="5"/>
        <v>1</v>
      </c>
    </row>
    <row r="121" spans="1:11" x14ac:dyDescent="0.35">
      <c r="A121" s="20" t="s">
        <v>105</v>
      </c>
      <c r="B121" s="20" t="s">
        <v>136</v>
      </c>
      <c r="C121" s="20" t="s">
        <v>133</v>
      </c>
      <c r="D121" s="20" t="s">
        <v>377</v>
      </c>
      <c r="E121" s="20" t="s">
        <v>247</v>
      </c>
      <c r="F121" s="20" t="s">
        <v>247</v>
      </c>
      <c r="G121" s="20" t="s">
        <v>376</v>
      </c>
      <c r="H121" s="20">
        <v>1</v>
      </c>
      <c r="I121" s="20">
        <v>0</v>
      </c>
      <c r="J121" s="22">
        <f t="shared" si="4"/>
        <v>0</v>
      </c>
      <c r="K121" s="20">
        <f t="shared" si="5"/>
        <v>1</v>
      </c>
    </row>
    <row r="122" spans="1:11" x14ac:dyDescent="0.35">
      <c r="A122" s="20" t="s">
        <v>105</v>
      </c>
      <c r="B122" s="20" t="s">
        <v>136</v>
      </c>
      <c r="C122" s="20" t="s">
        <v>133</v>
      </c>
      <c r="D122" s="20" t="s">
        <v>378</v>
      </c>
      <c r="E122" s="20" t="s">
        <v>247</v>
      </c>
      <c r="F122" s="20" t="s">
        <v>247</v>
      </c>
      <c r="G122" s="20" t="s">
        <v>376</v>
      </c>
      <c r="H122" s="20">
        <v>1</v>
      </c>
      <c r="I122" s="20">
        <v>0</v>
      </c>
      <c r="J122" s="22">
        <f t="shared" si="4"/>
        <v>0</v>
      </c>
      <c r="K122" s="20">
        <f t="shared" si="5"/>
        <v>1</v>
      </c>
    </row>
    <row r="123" spans="1:11" x14ac:dyDescent="0.35">
      <c r="A123" s="20" t="s">
        <v>110</v>
      </c>
      <c r="B123" s="20" t="s">
        <v>136</v>
      </c>
      <c r="C123" s="20" t="s">
        <v>133</v>
      </c>
      <c r="D123" s="20" t="s">
        <v>379</v>
      </c>
      <c r="E123" s="20" t="s">
        <v>247</v>
      </c>
      <c r="F123" s="20" t="s">
        <v>247</v>
      </c>
      <c r="G123" s="20" t="s">
        <v>380</v>
      </c>
      <c r="H123" s="20">
        <v>1</v>
      </c>
      <c r="I123" s="20">
        <v>0</v>
      </c>
      <c r="J123" s="22">
        <f t="shared" si="4"/>
        <v>0</v>
      </c>
      <c r="K123" s="20">
        <f t="shared" si="5"/>
        <v>1</v>
      </c>
    </row>
    <row r="124" spans="1:11" x14ac:dyDescent="0.35">
      <c r="A124" s="20" t="s">
        <v>110</v>
      </c>
      <c r="B124" s="20" t="s">
        <v>136</v>
      </c>
      <c r="C124" s="20" t="s">
        <v>133</v>
      </c>
      <c r="D124" s="20" t="s">
        <v>381</v>
      </c>
      <c r="E124" s="20" t="s">
        <v>247</v>
      </c>
      <c r="F124" s="20" t="s">
        <v>247</v>
      </c>
      <c r="G124" s="20" t="s">
        <v>380</v>
      </c>
      <c r="H124" s="20">
        <v>1</v>
      </c>
      <c r="I124" s="20">
        <v>0</v>
      </c>
      <c r="J124" s="22">
        <f t="shared" si="4"/>
        <v>0</v>
      </c>
      <c r="K124" s="20">
        <f t="shared" si="5"/>
        <v>1</v>
      </c>
    </row>
    <row r="125" spans="1:11" x14ac:dyDescent="0.35">
      <c r="A125" s="20" t="s">
        <v>110</v>
      </c>
      <c r="B125" s="20" t="s">
        <v>136</v>
      </c>
      <c r="C125" s="20" t="s">
        <v>133</v>
      </c>
      <c r="D125" s="20" t="s">
        <v>382</v>
      </c>
      <c r="E125" s="20" t="s">
        <v>247</v>
      </c>
      <c r="F125" s="20" t="s">
        <v>247</v>
      </c>
      <c r="G125" s="20" t="s">
        <v>380</v>
      </c>
      <c r="H125" s="20">
        <v>1</v>
      </c>
      <c r="I125" s="20">
        <v>0</v>
      </c>
      <c r="J125" s="22">
        <f t="shared" si="4"/>
        <v>0</v>
      </c>
      <c r="K125" s="20">
        <f t="shared" si="5"/>
        <v>1</v>
      </c>
    </row>
    <row r="126" spans="1:11" x14ac:dyDescent="0.35">
      <c r="A126" s="20" t="s">
        <v>110</v>
      </c>
      <c r="B126" s="20" t="s">
        <v>136</v>
      </c>
      <c r="C126" s="20" t="s">
        <v>133</v>
      </c>
      <c r="D126" s="20" t="s">
        <v>383</v>
      </c>
      <c r="E126" s="20" t="s">
        <v>247</v>
      </c>
      <c r="F126" s="20" t="s">
        <v>247</v>
      </c>
      <c r="G126" s="20" t="s">
        <v>380</v>
      </c>
      <c r="H126" s="20">
        <v>1</v>
      </c>
      <c r="I126" s="20">
        <v>0</v>
      </c>
      <c r="J126" s="22">
        <f t="shared" si="4"/>
        <v>0</v>
      </c>
      <c r="K126" s="20">
        <f t="shared" si="5"/>
        <v>1</v>
      </c>
    </row>
    <row r="127" spans="1:11" x14ac:dyDescent="0.35">
      <c r="A127" s="20" t="s">
        <v>114</v>
      </c>
      <c r="B127" s="20" t="s">
        <v>163</v>
      </c>
      <c r="C127" s="20" t="s">
        <v>133</v>
      </c>
      <c r="D127" s="20" t="s">
        <v>384</v>
      </c>
      <c r="E127" s="20" t="s">
        <v>182</v>
      </c>
      <c r="F127" s="20" t="s">
        <v>385</v>
      </c>
      <c r="G127" s="20" t="s">
        <v>184</v>
      </c>
      <c r="H127" s="20">
        <v>1</v>
      </c>
      <c r="I127" s="20">
        <v>0</v>
      </c>
      <c r="J127" s="22">
        <f t="shared" si="4"/>
        <v>0</v>
      </c>
      <c r="K127" s="20">
        <f t="shared" si="5"/>
        <v>1</v>
      </c>
    </row>
    <row r="128" spans="1:11" x14ac:dyDescent="0.35">
      <c r="A128" s="20" t="s">
        <v>114</v>
      </c>
      <c r="B128" s="20" t="s">
        <v>163</v>
      </c>
      <c r="C128" s="20" t="s">
        <v>133</v>
      </c>
      <c r="D128" s="20" t="s">
        <v>384</v>
      </c>
      <c r="E128" s="20" t="s">
        <v>182</v>
      </c>
      <c r="F128" s="20" t="s">
        <v>386</v>
      </c>
      <c r="G128" s="20" t="s">
        <v>184</v>
      </c>
      <c r="H128" s="20">
        <v>1</v>
      </c>
      <c r="I128" s="20">
        <v>0</v>
      </c>
      <c r="J128" s="22">
        <f t="shared" si="4"/>
        <v>0</v>
      </c>
      <c r="K128" s="20">
        <f t="shared" si="5"/>
        <v>1</v>
      </c>
    </row>
    <row r="129" spans="1:11" x14ac:dyDescent="0.35">
      <c r="A129" s="20" t="s">
        <v>114</v>
      </c>
      <c r="B129" s="20" t="s">
        <v>163</v>
      </c>
      <c r="C129" s="20" t="s">
        <v>133</v>
      </c>
      <c r="D129" s="20" t="s">
        <v>387</v>
      </c>
      <c r="E129" s="20" t="s">
        <v>182</v>
      </c>
      <c r="F129" s="20" t="s">
        <v>388</v>
      </c>
      <c r="G129" s="20" t="s">
        <v>184</v>
      </c>
      <c r="H129" s="20">
        <v>1</v>
      </c>
      <c r="I129" s="20">
        <v>0</v>
      </c>
      <c r="J129" s="22">
        <f t="shared" si="4"/>
        <v>0</v>
      </c>
      <c r="K129" s="20">
        <f t="shared" si="5"/>
        <v>1</v>
      </c>
    </row>
    <row r="130" spans="1:11" x14ac:dyDescent="0.35">
      <c r="A130" s="20" t="s">
        <v>114</v>
      </c>
      <c r="B130" s="20" t="s">
        <v>163</v>
      </c>
      <c r="C130" s="20" t="s">
        <v>133</v>
      </c>
      <c r="D130" s="20" t="s">
        <v>387</v>
      </c>
      <c r="E130" s="20" t="s">
        <v>182</v>
      </c>
      <c r="F130" s="20" t="s">
        <v>388</v>
      </c>
      <c r="G130" s="20" t="s">
        <v>184</v>
      </c>
      <c r="H130" s="20">
        <v>1</v>
      </c>
      <c r="I130" s="20">
        <v>0</v>
      </c>
      <c r="J130" s="22">
        <f t="shared" si="4"/>
        <v>0</v>
      </c>
      <c r="K130" s="20">
        <f t="shared" si="5"/>
        <v>1</v>
      </c>
    </row>
    <row r="131" spans="1:11" x14ac:dyDescent="0.35">
      <c r="A131" s="20" t="s">
        <v>114</v>
      </c>
      <c r="B131" s="20" t="s">
        <v>163</v>
      </c>
      <c r="C131" s="20" t="s">
        <v>133</v>
      </c>
      <c r="D131" s="20" t="s">
        <v>389</v>
      </c>
      <c r="E131" s="20" t="s">
        <v>182</v>
      </c>
      <c r="F131" s="20" t="s">
        <v>390</v>
      </c>
      <c r="G131" s="20" t="s">
        <v>184</v>
      </c>
      <c r="H131" s="20">
        <v>1</v>
      </c>
      <c r="I131" s="20">
        <v>0</v>
      </c>
      <c r="J131" s="22">
        <f t="shared" si="4"/>
        <v>0</v>
      </c>
      <c r="K131" s="20">
        <f t="shared" si="5"/>
        <v>1</v>
      </c>
    </row>
    <row r="132" spans="1:11" x14ac:dyDescent="0.35">
      <c r="A132" s="20" t="s">
        <v>114</v>
      </c>
      <c r="B132" s="20" t="s">
        <v>163</v>
      </c>
      <c r="C132" s="20" t="s">
        <v>133</v>
      </c>
      <c r="D132" s="20" t="s">
        <v>391</v>
      </c>
      <c r="E132" s="20" t="s">
        <v>182</v>
      </c>
      <c r="F132" s="20" t="s">
        <v>392</v>
      </c>
      <c r="G132" s="20" t="s">
        <v>184</v>
      </c>
      <c r="H132" s="20">
        <v>1</v>
      </c>
      <c r="I132" s="20">
        <v>0</v>
      </c>
      <c r="J132" s="22">
        <f t="shared" si="4"/>
        <v>0</v>
      </c>
      <c r="K132" s="20">
        <f t="shared" si="5"/>
        <v>1</v>
      </c>
    </row>
    <row r="133" spans="1:11" x14ac:dyDescent="0.35">
      <c r="A133" s="20" t="s">
        <v>114</v>
      </c>
      <c r="B133" s="20" t="s">
        <v>163</v>
      </c>
      <c r="C133" s="20" t="s">
        <v>133</v>
      </c>
      <c r="D133" s="20" t="s">
        <v>391</v>
      </c>
      <c r="E133" s="20" t="s">
        <v>182</v>
      </c>
      <c r="F133" s="20" t="s">
        <v>393</v>
      </c>
      <c r="G133" s="20" t="s">
        <v>184</v>
      </c>
      <c r="H133" s="20">
        <v>1</v>
      </c>
      <c r="I133" s="20">
        <v>0</v>
      </c>
      <c r="J133" s="22">
        <f t="shared" si="4"/>
        <v>0</v>
      </c>
      <c r="K133" s="20">
        <f t="shared" si="5"/>
        <v>1</v>
      </c>
    </row>
    <row r="134" spans="1:11" x14ac:dyDescent="0.35">
      <c r="A134" s="20" t="s">
        <v>114</v>
      </c>
      <c r="B134" s="20" t="s">
        <v>163</v>
      </c>
      <c r="C134" s="20" t="s">
        <v>133</v>
      </c>
      <c r="D134" s="20" t="s">
        <v>394</v>
      </c>
      <c r="E134" s="20" t="s">
        <v>182</v>
      </c>
      <c r="F134" s="20" t="s">
        <v>395</v>
      </c>
      <c r="G134" s="20" t="s">
        <v>184</v>
      </c>
      <c r="H134" s="20">
        <v>1</v>
      </c>
      <c r="I134" s="20">
        <v>0</v>
      </c>
      <c r="J134" s="22">
        <f t="shared" si="4"/>
        <v>0</v>
      </c>
      <c r="K134" s="20">
        <f t="shared" si="5"/>
        <v>1</v>
      </c>
    </row>
    <row r="135" spans="1:11" x14ac:dyDescent="0.35">
      <c r="A135" s="20" t="s">
        <v>114</v>
      </c>
      <c r="B135" s="20" t="s">
        <v>163</v>
      </c>
      <c r="C135" s="20" t="s">
        <v>133</v>
      </c>
      <c r="D135" s="20" t="s">
        <v>396</v>
      </c>
      <c r="E135" s="20" t="s">
        <v>182</v>
      </c>
      <c r="F135" s="20" t="s">
        <v>397</v>
      </c>
      <c r="G135" s="20" t="s">
        <v>184</v>
      </c>
      <c r="H135" s="20">
        <v>1</v>
      </c>
      <c r="I135" s="20">
        <v>0</v>
      </c>
      <c r="J135" s="22">
        <f t="shared" si="4"/>
        <v>0</v>
      </c>
      <c r="K135" s="20">
        <f t="shared" si="5"/>
        <v>1</v>
      </c>
    </row>
    <row r="136" spans="1:11" x14ac:dyDescent="0.35">
      <c r="A136" s="20" t="s">
        <v>114</v>
      </c>
      <c r="B136" s="20" t="s">
        <v>163</v>
      </c>
      <c r="C136" s="20" t="s">
        <v>133</v>
      </c>
      <c r="D136" s="20" t="s">
        <v>396</v>
      </c>
      <c r="E136" s="20" t="s">
        <v>182</v>
      </c>
      <c r="F136" s="20" t="s">
        <v>398</v>
      </c>
      <c r="G136" s="20" t="s">
        <v>184</v>
      </c>
      <c r="H136" s="20">
        <v>1</v>
      </c>
      <c r="I136" s="20">
        <v>0</v>
      </c>
      <c r="J136" s="22">
        <f t="shared" si="4"/>
        <v>0</v>
      </c>
      <c r="K136" s="20">
        <f t="shared" si="5"/>
        <v>1</v>
      </c>
    </row>
    <row r="137" spans="1:11" x14ac:dyDescent="0.35">
      <c r="A137" s="20" t="s">
        <v>114</v>
      </c>
      <c r="B137" s="20" t="s">
        <v>163</v>
      </c>
      <c r="C137" s="20" t="s">
        <v>133</v>
      </c>
      <c r="D137" s="20" t="s">
        <v>399</v>
      </c>
      <c r="E137" s="20" t="s">
        <v>182</v>
      </c>
      <c r="F137" s="20" t="s">
        <v>400</v>
      </c>
      <c r="G137" s="20" t="s">
        <v>184</v>
      </c>
      <c r="H137" s="20">
        <v>1</v>
      </c>
      <c r="I137" s="20">
        <v>0</v>
      </c>
      <c r="J137" s="22">
        <f t="shared" si="4"/>
        <v>0</v>
      </c>
      <c r="K137" s="20">
        <f t="shared" si="5"/>
        <v>1</v>
      </c>
    </row>
    <row r="138" spans="1:11" x14ac:dyDescent="0.35">
      <c r="A138" s="20" t="s">
        <v>114</v>
      </c>
      <c r="B138" s="20" t="s">
        <v>163</v>
      </c>
      <c r="C138" s="20" t="s">
        <v>133</v>
      </c>
      <c r="D138" s="20" t="s">
        <v>399</v>
      </c>
      <c r="E138" s="20" t="s">
        <v>182</v>
      </c>
      <c r="F138" s="20" t="s">
        <v>401</v>
      </c>
      <c r="G138" s="20" t="s">
        <v>184</v>
      </c>
      <c r="H138" s="20">
        <v>1</v>
      </c>
      <c r="I138" s="20">
        <v>0</v>
      </c>
      <c r="J138" s="22">
        <f t="shared" si="4"/>
        <v>0</v>
      </c>
      <c r="K138" s="20">
        <f t="shared" si="5"/>
        <v>1</v>
      </c>
    </row>
    <row r="139" spans="1:11" x14ac:dyDescent="0.35">
      <c r="A139" s="20" t="s">
        <v>114</v>
      </c>
      <c r="B139" s="20" t="s">
        <v>163</v>
      </c>
      <c r="C139" s="20" t="s">
        <v>133</v>
      </c>
      <c r="D139" s="20" t="s">
        <v>402</v>
      </c>
      <c r="E139" s="20" t="s">
        <v>182</v>
      </c>
      <c r="F139" s="20" t="s">
        <v>403</v>
      </c>
      <c r="G139" s="20" t="s">
        <v>184</v>
      </c>
      <c r="H139" s="20">
        <v>1</v>
      </c>
      <c r="I139" s="20">
        <v>0</v>
      </c>
      <c r="J139" s="22">
        <f t="shared" si="4"/>
        <v>0</v>
      </c>
      <c r="K139" s="20">
        <f t="shared" si="5"/>
        <v>1</v>
      </c>
    </row>
    <row r="140" spans="1:11" x14ac:dyDescent="0.35">
      <c r="A140" s="20" t="s">
        <v>114</v>
      </c>
      <c r="B140" s="20" t="s">
        <v>163</v>
      </c>
      <c r="C140" s="20" t="s">
        <v>133</v>
      </c>
      <c r="D140" s="20" t="s">
        <v>404</v>
      </c>
      <c r="E140" s="20" t="s">
        <v>182</v>
      </c>
      <c r="F140" s="20" t="s">
        <v>405</v>
      </c>
      <c r="G140" s="20" t="s">
        <v>184</v>
      </c>
      <c r="H140" s="20">
        <v>1</v>
      </c>
      <c r="I140" s="20">
        <v>0</v>
      </c>
      <c r="J140" s="22">
        <f t="shared" si="4"/>
        <v>0</v>
      </c>
      <c r="K140" s="20">
        <f t="shared" si="5"/>
        <v>1</v>
      </c>
    </row>
    <row r="141" spans="1:11" x14ac:dyDescent="0.35">
      <c r="A141" s="20" t="s">
        <v>114</v>
      </c>
      <c r="B141" s="20" t="s">
        <v>163</v>
      </c>
      <c r="C141" s="20" t="s">
        <v>133</v>
      </c>
      <c r="D141" s="20" t="s">
        <v>406</v>
      </c>
      <c r="E141" s="20" t="s">
        <v>182</v>
      </c>
      <c r="F141" s="20" t="s">
        <v>407</v>
      </c>
      <c r="G141" s="20" t="s">
        <v>184</v>
      </c>
      <c r="H141" s="20">
        <v>1</v>
      </c>
      <c r="I141" s="20">
        <v>0</v>
      </c>
      <c r="J141" s="22">
        <f t="shared" si="4"/>
        <v>0</v>
      </c>
      <c r="K141" s="20">
        <f t="shared" si="5"/>
        <v>1</v>
      </c>
    </row>
    <row r="142" spans="1:11" x14ac:dyDescent="0.35">
      <c r="A142" s="20" t="s">
        <v>114</v>
      </c>
      <c r="B142" s="20" t="s">
        <v>163</v>
      </c>
      <c r="C142" s="20" t="s">
        <v>133</v>
      </c>
      <c r="D142" s="20" t="s">
        <v>408</v>
      </c>
      <c r="E142" s="20" t="s">
        <v>182</v>
      </c>
      <c r="F142" s="20" t="s">
        <v>409</v>
      </c>
      <c r="G142" s="20" t="s">
        <v>184</v>
      </c>
      <c r="H142" s="20">
        <v>1</v>
      </c>
      <c r="I142" s="20">
        <v>0</v>
      </c>
      <c r="J142" s="22">
        <f t="shared" si="4"/>
        <v>0</v>
      </c>
      <c r="K142" s="20">
        <f t="shared" si="5"/>
        <v>1</v>
      </c>
    </row>
    <row r="143" spans="1:11" x14ac:dyDescent="0.35">
      <c r="A143" s="20" t="s">
        <v>114</v>
      </c>
      <c r="B143" s="20" t="s">
        <v>163</v>
      </c>
      <c r="C143" s="20" t="s">
        <v>133</v>
      </c>
      <c r="D143" s="20" t="s">
        <v>408</v>
      </c>
      <c r="E143" s="20" t="s">
        <v>182</v>
      </c>
      <c r="F143" s="20" t="s">
        <v>410</v>
      </c>
      <c r="G143" s="20" t="s">
        <v>184</v>
      </c>
      <c r="H143" s="20">
        <v>1</v>
      </c>
      <c r="I143" s="20">
        <v>0</v>
      </c>
      <c r="J143" s="22">
        <f t="shared" si="4"/>
        <v>0</v>
      </c>
      <c r="K143" s="20">
        <f t="shared" si="5"/>
        <v>1</v>
      </c>
    </row>
    <row r="144" spans="1:11" x14ac:dyDescent="0.35">
      <c r="A144" s="20" t="s">
        <v>114</v>
      </c>
      <c r="B144" s="20" t="s">
        <v>163</v>
      </c>
      <c r="C144" s="20" t="s">
        <v>133</v>
      </c>
      <c r="D144" s="20" t="s">
        <v>411</v>
      </c>
      <c r="E144" s="20" t="s">
        <v>182</v>
      </c>
      <c r="F144" s="20" t="s">
        <v>412</v>
      </c>
      <c r="G144" s="20" t="s">
        <v>184</v>
      </c>
      <c r="H144" s="20">
        <v>1</v>
      </c>
      <c r="I144" s="20">
        <v>0</v>
      </c>
      <c r="J144" s="22">
        <f t="shared" si="4"/>
        <v>0</v>
      </c>
      <c r="K144" s="20">
        <f t="shared" si="5"/>
        <v>1</v>
      </c>
    </row>
    <row r="145" spans="1:11" x14ac:dyDescent="0.35">
      <c r="A145" s="20" t="s">
        <v>114</v>
      </c>
      <c r="B145" s="20" t="s">
        <v>163</v>
      </c>
      <c r="C145" s="20" t="s">
        <v>133</v>
      </c>
      <c r="D145" s="20" t="s">
        <v>413</v>
      </c>
      <c r="E145" s="20" t="s">
        <v>182</v>
      </c>
      <c r="F145" s="20" t="s">
        <v>414</v>
      </c>
      <c r="G145" s="20" t="s">
        <v>184</v>
      </c>
      <c r="H145" s="20">
        <v>1</v>
      </c>
      <c r="I145" s="20">
        <v>0</v>
      </c>
      <c r="J145" s="22">
        <f t="shared" si="4"/>
        <v>0</v>
      </c>
      <c r="K145" s="20">
        <f t="shared" si="5"/>
        <v>1</v>
      </c>
    </row>
    <row r="146" spans="1:11" x14ac:dyDescent="0.35">
      <c r="A146" s="20" t="s">
        <v>114</v>
      </c>
      <c r="B146" s="20" t="s">
        <v>163</v>
      </c>
      <c r="C146" s="20" t="s">
        <v>133</v>
      </c>
      <c r="D146" s="20" t="s">
        <v>415</v>
      </c>
      <c r="E146" s="20" t="s">
        <v>182</v>
      </c>
      <c r="F146" s="20" t="s">
        <v>416</v>
      </c>
      <c r="G146" s="20" t="s">
        <v>184</v>
      </c>
      <c r="H146" s="20">
        <v>1</v>
      </c>
      <c r="I146" s="20">
        <v>0</v>
      </c>
      <c r="J146" s="22">
        <f t="shared" si="4"/>
        <v>0</v>
      </c>
      <c r="K146" s="20">
        <f t="shared" si="5"/>
        <v>1</v>
      </c>
    </row>
    <row r="147" spans="1:11" x14ac:dyDescent="0.35">
      <c r="A147" s="20" t="s">
        <v>114</v>
      </c>
      <c r="B147" s="20" t="s">
        <v>163</v>
      </c>
      <c r="C147" s="20" t="s">
        <v>133</v>
      </c>
      <c r="D147" s="20" t="s">
        <v>415</v>
      </c>
      <c r="E147" s="20" t="s">
        <v>182</v>
      </c>
      <c r="F147" s="20" t="s">
        <v>417</v>
      </c>
      <c r="G147" s="20" t="s">
        <v>184</v>
      </c>
      <c r="H147" s="20">
        <v>1</v>
      </c>
      <c r="I147" s="20">
        <v>0</v>
      </c>
      <c r="J147" s="22">
        <f t="shared" si="4"/>
        <v>0</v>
      </c>
      <c r="K147" s="20">
        <f t="shared" si="5"/>
        <v>1</v>
      </c>
    </row>
    <row r="148" spans="1:11" x14ac:dyDescent="0.35">
      <c r="A148" s="20" t="s">
        <v>114</v>
      </c>
      <c r="B148" s="20" t="s">
        <v>163</v>
      </c>
      <c r="C148" s="20" t="s">
        <v>133</v>
      </c>
      <c r="D148" s="20" t="s">
        <v>415</v>
      </c>
      <c r="E148" s="20" t="s">
        <v>182</v>
      </c>
      <c r="F148" s="20" t="s">
        <v>418</v>
      </c>
      <c r="G148" s="20" t="s">
        <v>184</v>
      </c>
      <c r="H148" s="20">
        <v>1</v>
      </c>
      <c r="I148" s="20">
        <v>0</v>
      </c>
      <c r="J148" s="22">
        <f t="shared" si="4"/>
        <v>0</v>
      </c>
      <c r="K148" s="20">
        <f t="shared" si="5"/>
        <v>1</v>
      </c>
    </row>
    <row r="149" spans="1:11" x14ac:dyDescent="0.35">
      <c r="A149" s="20" t="s">
        <v>114</v>
      </c>
      <c r="B149" s="20" t="s">
        <v>163</v>
      </c>
      <c r="C149" s="20" t="s">
        <v>133</v>
      </c>
      <c r="D149" s="20" t="s">
        <v>415</v>
      </c>
      <c r="E149" s="20" t="s">
        <v>182</v>
      </c>
      <c r="F149" s="20" t="s">
        <v>419</v>
      </c>
      <c r="G149" s="20" t="s">
        <v>184</v>
      </c>
      <c r="H149" s="20">
        <v>1</v>
      </c>
      <c r="I149" s="20">
        <v>0</v>
      </c>
      <c r="J149" s="22">
        <f t="shared" si="4"/>
        <v>0</v>
      </c>
      <c r="K149" s="20">
        <f t="shared" si="5"/>
        <v>1</v>
      </c>
    </row>
    <row r="150" spans="1:11" x14ac:dyDescent="0.35">
      <c r="A150" s="20" t="s">
        <v>114</v>
      </c>
      <c r="B150" s="20" t="s">
        <v>163</v>
      </c>
      <c r="C150" s="20" t="s">
        <v>133</v>
      </c>
      <c r="D150" s="20" t="s">
        <v>415</v>
      </c>
      <c r="E150" s="20" t="s">
        <v>182</v>
      </c>
      <c r="F150" s="20" t="s">
        <v>420</v>
      </c>
      <c r="G150" s="20" t="s">
        <v>184</v>
      </c>
      <c r="H150" s="20">
        <v>1</v>
      </c>
      <c r="I150" s="20">
        <v>0</v>
      </c>
      <c r="J150" s="22">
        <f t="shared" si="4"/>
        <v>0</v>
      </c>
      <c r="K150" s="20">
        <f t="shared" si="5"/>
        <v>1</v>
      </c>
    </row>
    <row r="151" spans="1:11" x14ac:dyDescent="0.35">
      <c r="A151" s="20" t="s">
        <v>114</v>
      </c>
      <c r="B151" s="20" t="s">
        <v>163</v>
      </c>
      <c r="C151" s="20" t="s">
        <v>133</v>
      </c>
      <c r="D151" s="20" t="s">
        <v>415</v>
      </c>
      <c r="E151" s="20" t="s">
        <v>182</v>
      </c>
      <c r="F151" s="20" t="s">
        <v>421</v>
      </c>
      <c r="G151" s="20" t="s">
        <v>184</v>
      </c>
      <c r="H151" s="20">
        <v>1</v>
      </c>
      <c r="I151" s="20">
        <v>0</v>
      </c>
      <c r="J151" s="22">
        <f t="shared" si="4"/>
        <v>0</v>
      </c>
      <c r="K151" s="20">
        <f t="shared" si="5"/>
        <v>1</v>
      </c>
    </row>
    <row r="152" spans="1:11" x14ac:dyDescent="0.35">
      <c r="A152" s="20" t="s">
        <v>114</v>
      </c>
      <c r="B152" s="20" t="s">
        <v>163</v>
      </c>
      <c r="C152" s="20" t="s">
        <v>133</v>
      </c>
      <c r="D152" s="20" t="s">
        <v>422</v>
      </c>
      <c r="E152" s="20" t="s">
        <v>182</v>
      </c>
      <c r="F152" s="20" t="s">
        <v>423</v>
      </c>
      <c r="G152" s="20" t="s">
        <v>184</v>
      </c>
      <c r="H152" s="20">
        <v>1</v>
      </c>
      <c r="I152" s="20">
        <v>0</v>
      </c>
      <c r="J152" s="22">
        <f t="shared" si="4"/>
        <v>0</v>
      </c>
      <c r="K152" s="20">
        <f t="shared" si="5"/>
        <v>1</v>
      </c>
    </row>
    <row r="153" spans="1:11" x14ac:dyDescent="0.35">
      <c r="A153" s="20" t="s">
        <v>114</v>
      </c>
      <c r="B153" s="20" t="s">
        <v>163</v>
      </c>
      <c r="C153" s="20" t="s">
        <v>133</v>
      </c>
      <c r="D153" s="20" t="s">
        <v>422</v>
      </c>
      <c r="E153" s="20" t="s">
        <v>182</v>
      </c>
      <c r="F153" s="20" t="s">
        <v>424</v>
      </c>
      <c r="G153" s="20" t="s">
        <v>184</v>
      </c>
      <c r="H153" s="20">
        <v>1</v>
      </c>
      <c r="I153" s="20">
        <v>0</v>
      </c>
      <c r="J153" s="22">
        <f t="shared" si="4"/>
        <v>0</v>
      </c>
      <c r="K153" s="20">
        <f t="shared" si="5"/>
        <v>1</v>
      </c>
    </row>
    <row r="154" spans="1:11" x14ac:dyDescent="0.35">
      <c r="A154" s="20" t="s">
        <v>114</v>
      </c>
      <c r="B154" s="20" t="s">
        <v>163</v>
      </c>
      <c r="C154" s="20" t="s">
        <v>133</v>
      </c>
      <c r="D154" s="20" t="s">
        <v>425</v>
      </c>
      <c r="E154" s="20" t="s">
        <v>182</v>
      </c>
      <c r="F154" s="20" t="s">
        <v>426</v>
      </c>
      <c r="G154" s="20" t="s">
        <v>184</v>
      </c>
      <c r="H154" s="20">
        <v>1</v>
      </c>
      <c r="I154" s="20">
        <v>0</v>
      </c>
      <c r="J154" s="22">
        <f t="shared" si="4"/>
        <v>0</v>
      </c>
      <c r="K154" s="20">
        <f t="shared" si="5"/>
        <v>1</v>
      </c>
    </row>
    <row r="155" spans="1:11" x14ac:dyDescent="0.35">
      <c r="A155" s="20" t="s">
        <v>114</v>
      </c>
      <c r="B155" s="20" t="s">
        <v>163</v>
      </c>
      <c r="C155" s="20" t="s">
        <v>133</v>
      </c>
      <c r="D155" s="20" t="s">
        <v>427</v>
      </c>
      <c r="E155" s="20" t="s">
        <v>182</v>
      </c>
      <c r="F155" s="20" t="s">
        <v>428</v>
      </c>
      <c r="G155" s="20" t="s">
        <v>184</v>
      </c>
      <c r="H155" s="20">
        <v>1</v>
      </c>
      <c r="I155" s="20">
        <v>0</v>
      </c>
      <c r="J155" s="22">
        <f t="shared" si="4"/>
        <v>0</v>
      </c>
      <c r="K155" s="20">
        <f t="shared" si="5"/>
        <v>1</v>
      </c>
    </row>
    <row r="156" spans="1:11" x14ac:dyDescent="0.35">
      <c r="A156" s="20" t="s">
        <v>114</v>
      </c>
      <c r="B156" s="20" t="s">
        <v>163</v>
      </c>
      <c r="C156" s="20" t="s">
        <v>133</v>
      </c>
      <c r="D156" s="20" t="s">
        <v>429</v>
      </c>
      <c r="E156" s="20" t="s">
        <v>182</v>
      </c>
      <c r="F156" s="20"/>
      <c r="G156" s="20" t="s">
        <v>184</v>
      </c>
      <c r="H156" s="20">
        <v>1</v>
      </c>
      <c r="I156" s="20">
        <v>0</v>
      </c>
      <c r="J156" s="22">
        <f t="shared" si="4"/>
        <v>0</v>
      </c>
      <c r="K156" s="20">
        <f t="shared" si="5"/>
        <v>1</v>
      </c>
    </row>
    <row r="157" spans="1:11" x14ac:dyDescent="0.35">
      <c r="A157" s="20" t="s">
        <v>114</v>
      </c>
      <c r="B157" s="20" t="s">
        <v>163</v>
      </c>
      <c r="C157" s="20" t="s">
        <v>133</v>
      </c>
      <c r="D157" s="20" t="s">
        <v>430</v>
      </c>
      <c r="E157" s="20" t="s">
        <v>182</v>
      </c>
      <c r="F157" s="20" t="s">
        <v>431</v>
      </c>
      <c r="G157" s="20" t="s">
        <v>184</v>
      </c>
      <c r="H157" s="20">
        <v>1</v>
      </c>
      <c r="I157" s="20">
        <v>0</v>
      </c>
      <c r="J157" s="22">
        <f t="shared" si="4"/>
        <v>0</v>
      </c>
      <c r="K157" s="20">
        <f t="shared" si="5"/>
        <v>1</v>
      </c>
    </row>
    <row r="158" spans="1:11" x14ac:dyDescent="0.35">
      <c r="A158" s="20" t="s">
        <v>118</v>
      </c>
      <c r="B158" s="20" t="s">
        <v>163</v>
      </c>
      <c r="C158" s="20" t="s">
        <v>133</v>
      </c>
      <c r="D158" s="20" t="s">
        <v>432</v>
      </c>
      <c r="E158" s="20" t="s">
        <v>189</v>
      </c>
      <c r="F158" s="20" t="s">
        <v>416</v>
      </c>
      <c r="G158" s="20" t="s">
        <v>191</v>
      </c>
      <c r="H158" s="20">
        <v>1</v>
      </c>
      <c r="I158" s="20">
        <v>0</v>
      </c>
      <c r="J158" s="22">
        <f t="shared" si="4"/>
        <v>0</v>
      </c>
      <c r="K158" s="20">
        <f t="shared" si="5"/>
        <v>1</v>
      </c>
    </row>
    <row r="159" spans="1:11" x14ac:dyDescent="0.35">
      <c r="A159" s="20" t="s">
        <v>118</v>
      </c>
      <c r="B159" s="20" t="s">
        <v>163</v>
      </c>
      <c r="C159" s="20" t="s">
        <v>133</v>
      </c>
      <c r="D159" s="20" t="s">
        <v>433</v>
      </c>
      <c r="E159" s="20" t="s">
        <v>189</v>
      </c>
      <c r="F159" s="20" t="s">
        <v>417</v>
      </c>
      <c r="G159" s="20" t="s">
        <v>191</v>
      </c>
      <c r="H159" s="20">
        <v>1</v>
      </c>
      <c r="I159" s="20">
        <v>0</v>
      </c>
      <c r="J159" s="22">
        <f t="shared" si="4"/>
        <v>0</v>
      </c>
      <c r="K159" s="20">
        <f t="shared" si="5"/>
        <v>1</v>
      </c>
    </row>
    <row r="160" spans="1:11" x14ac:dyDescent="0.35">
      <c r="A160" s="20" t="s">
        <v>118</v>
      </c>
      <c r="B160" s="20" t="s">
        <v>163</v>
      </c>
      <c r="C160" s="20" t="s">
        <v>133</v>
      </c>
      <c r="D160" s="20" t="s">
        <v>434</v>
      </c>
      <c r="E160" s="20" t="s">
        <v>189</v>
      </c>
      <c r="F160" s="20" t="s">
        <v>435</v>
      </c>
      <c r="G160" s="20" t="s">
        <v>191</v>
      </c>
      <c r="H160" s="20">
        <v>1</v>
      </c>
      <c r="I160" s="20">
        <v>0</v>
      </c>
      <c r="J160" s="22">
        <f t="shared" si="4"/>
        <v>0</v>
      </c>
      <c r="K160" s="20">
        <f t="shared" si="5"/>
        <v>1</v>
      </c>
    </row>
    <row r="161" spans="1:11" x14ac:dyDescent="0.35">
      <c r="A161" s="20" t="s">
        <v>118</v>
      </c>
      <c r="B161" s="20" t="s">
        <v>163</v>
      </c>
      <c r="C161" s="20" t="s">
        <v>133</v>
      </c>
      <c r="D161" s="20" t="s">
        <v>434</v>
      </c>
      <c r="E161" s="20" t="s">
        <v>189</v>
      </c>
      <c r="F161" s="20" t="s">
        <v>436</v>
      </c>
      <c r="G161" s="20" t="s">
        <v>191</v>
      </c>
      <c r="H161" s="20">
        <v>1</v>
      </c>
      <c r="I161" s="20">
        <v>0</v>
      </c>
      <c r="J161" s="22">
        <f t="shared" si="4"/>
        <v>0</v>
      </c>
      <c r="K161" s="20">
        <f t="shared" si="5"/>
        <v>1</v>
      </c>
    </row>
    <row r="162" spans="1:11" x14ac:dyDescent="0.35">
      <c r="A162" s="20" t="s">
        <v>118</v>
      </c>
      <c r="B162" s="20" t="s">
        <v>163</v>
      </c>
      <c r="C162" s="20" t="s">
        <v>133</v>
      </c>
      <c r="D162" s="20" t="s">
        <v>437</v>
      </c>
      <c r="E162" s="20" t="s">
        <v>189</v>
      </c>
      <c r="F162" s="20" t="s">
        <v>438</v>
      </c>
      <c r="G162" s="20" t="s">
        <v>191</v>
      </c>
      <c r="H162" s="20">
        <v>1</v>
      </c>
      <c r="I162" s="20">
        <v>0</v>
      </c>
      <c r="J162" s="22">
        <f t="shared" si="4"/>
        <v>0</v>
      </c>
      <c r="K162" s="20">
        <f t="shared" si="5"/>
        <v>1</v>
      </c>
    </row>
    <row r="163" spans="1:11" x14ac:dyDescent="0.35">
      <c r="A163" s="20" t="s">
        <v>118</v>
      </c>
      <c r="B163" s="20" t="s">
        <v>163</v>
      </c>
      <c r="C163" s="20" t="s">
        <v>133</v>
      </c>
      <c r="D163" s="20" t="s">
        <v>439</v>
      </c>
      <c r="E163" s="20" t="s">
        <v>189</v>
      </c>
      <c r="F163" s="20" t="s">
        <v>440</v>
      </c>
      <c r="G163" s="20" t="s">
        <v>191</v>
      </c>
      <c r="H163" s="20">
        <v>1</v>
      </c>
      <c r="I163" s="20">
        <v>0</v>
      </c>
      <c r="J163" s="22">
        <f t="shared" si="4"/>
        <v>0</v>
      </c>
      <c r="K163" s="20">
        <f t="shared" si="5"/>
        <v>1</v>
      </c>
    </row>
    <row r="164" spans="1:11" x14ac:dyDescent="0.35">
      <c r="A164" s="20" t="s">
        <v>118</v>
      </c>
      <c r="B164" s="20" t="s">
        <v>163</v>
      </c>
      <c r="C164" s="20" t="s">
        <v>133</v>
      </c>
      <c r="D164" s="20" t="s">
        <v>441</v>
      </c>
      <c r="E164" s="20" t="s">
        <v>189</v>
      </c>
      <c r="F164" s="20" t="s">
        <v>442</v>
      </c>
      <c r="G164" s="20" t="s">
        <v>191</v>
      </c>
      <c r="H164" s="20">
        <v>1</v>
      </c>
      <c r="I164" s="20">
        <v>0</v>
      </c>
      <c r="J164" s="22">
        <f t="shared" ref="J164:J227" si="6">IFERROR(I164/H164,0)</f>
        <v>0</v>
      </c>
      <c r="K164" s="20">
        <f t="shared" ref="K164:K227" si="7">H164-I164</f>
        <v>1</v>
      </c>
    </row>
    <row r="165" spans="1:11" x14ac:dyDescent="0.35">
      <c r="A165" s="20" t="s">
        <v>118</v>
      </c>
      <c r="B165" s="20" t="s">
        <v>163</v>
      </c>
      <c r="C165" s="20" t="s">
        <v>133</v>
      </c>
      <c r="D165" s="20" t="s">
        <v>441</v>
      </c>
      <c r="E165" s="20" t="s">
        <v>189</v>
      </c>
      <c r="F165" s="20" t="s">
        <v>443</v>
      </c>
      <c r="G165" s="20" t="s">
        <v>191</v>
      </c>
      <c r="H165" s="20">
        <v>1</v>
      </c>
      <c r="I165" s="20">
        <v>0</v>
      </c>
      <c r="J165" s="22">
        <f t="shared" si="6"/>
        <v>0</v>
      </c>
      <c r="K165" s="20">
        <f t="shared" si="7"/>
        <v>1</v>
      </c>
    </row>
    <row r="166" spans="1:11" x14ac:dyDescent="0.35">
      <c r="A166" s="20" t="s">
        <v>118</v>
      </c>
      <c r="B166" s="20" t="s">
        <v>163</v>
      </c>
      <c r="C166" s="20" t="s">
        <v>133</v>
      </c>
      <c r="D166" s="20" t="s">
        <v>444</v>
      </c>
      <c r="E166" s="20" t="s">
        <v>189</v>
      </c>
      <c r="F166" s="20" t="s">
        <v>445</v>
      </c>
      <c r="G166" s="20" t="s">
        <v>191</v>
      </c>
      <c r="H166" s="20">
        <v>1</v>
      </c>
      <c r="I166" s="20">
        <v>0</v>
      </c>
      <c r="J166" s="22">
        <f t="shared" si="6"/>
        <v>0</v>
      </c>
      <c r="K166" s="20">
        <f t="shared" si="7"/>
        <v>1</v>
      </c>
    </row>
    <row r="167" spans="1:11" x14ac:dyDescent="0.35">
      <c r="A167" s="20" t="s">
        <v>118</v>
      </c>
      <c r="B167" s="20" t="s">
        <v>163</v>
      </c>
      <c r="C167" s="20" t="s">
        <v>133</v>
      </c>
      <c r="D167" s="20" t="s">
        <v>444</v>
      </c>
      <c r="E167" s="20" t="s">
        <v>189</v>
      </c>
      <c r="F167" s="20" t="s">
        <v>446</v>
      </c>
      <c r="G167" s="20" t="s">
        <v>191</v>
      </c>
      <c r="H167" s="20">
        <v>1</v>
      </c>
      <c r="I167" s="20">
        <v>0</v>
      </c>
      <c r="J167" s="22">
        <f t="shared" si="6"/>
        <v>0</v>
      </c>
      <c r="K167" s="20">
        <f t="shared" si="7"/>
        <v>1</v>
      </c>
    </row>
    <row r="168" spans="1:11" x14ac:dyDescent="0.35">
      <c r="A168" s="20" t="s">
        <v>118</v>
      </c>
      <c r="B168" s="20" t="s">
        <v>163</v>
      </c>
      <c r="C168" s="20" t="s">
        <v>133</v>
      </c>
      <c r="D168" s="20" t="s">
        <v>444</v>
      </c>
      <c r="E168" s="20" t="s">
        <v>189</v>
      </c>
      <c r="F168" s="20" t="s">
        <v>447</v>
      </c>
      <c r="G168" s="20" t="s">
        <v>191</v>
      </c>
      <c r="H168" s="20">
        <v>1</v>
      </c>
      <c r="I168" s="20">
        <v>0</v>
      </c>
      <c r="J168" s="22">
        <f t="shared" si="6"/>
        <v>0</v>
      </c>
      <c r="K168" s="20">
        <f t="shared" si="7"/>
        <v>1</v>
      </c>
    </row>
    <row r="169" spans="1:11" x14ac:dyDescent="0.35">
      <c r="A169" s="20" t="s">
        <v>118</v>
      </c>
      <c r="B169" s="20" t="s">
        <v>163</v>
      </c>
      <c r="C169" s="20" t="s">
        <v>133</v>
      </c>
      <c r="D169" s="20" t="s">
        <v>444</v>
      </c>
      <c r="E169" s="20" t="s">
        <v>189</v>
      </c>
      <c r="F169" s="20" t="s">
        <v>448</v>
      </c>
      <c r="G169" s="20" t="s">
        <v>191</v>
      </c>
      <c r="H169" s="20">
        <v>1</v>
      </c>
      <c r="I169" s="20">
        <v>0</v>
      </c>
      <c r="J169" s="22">
        <f t="shared" si="6"/>
        <v>0</v>
      </c>
      <c r="K169" s="20">
        <f t="shared" si="7"/>
        <v>1</v>
      </c>
    </row>
    <row r="170" spans="1:11" x14ac:dyDescent="0.35">
      <c r="A170" s="20" t="s">
        <v>118</v>
      </c>
      <c r="B170" s="20" t="s">
        <v>163</v>
      </c>
      <c r="C170" s="20" t="s">
        <v>133</v>
      </c>
      <c r="D170" s="20" t="s">
        <v>444</v>
      </c>
      <c r="E170" s="20" t="s">
        <v>189</v>
      </c>
      <c r="F170" s="20" t="s">
        <v>449</v>
      </c>
      <c r="G170" s="20" t="s">
        <v>191</v>
      </c>
      <c r="H170" s="20">
        <v>1</v>
      </c>
      <c r="I170" s="20">
        <v>0</v>
      </c>
      <c r="J170" s="22">
        <f t="shared" si="6"/>
        <v>0</v>
      </c>
      <c r="K170" s="20">
        <f t="shared" si="7"/>
        <v>1</v>
      </c>
    </row>
    <row r="171" spans="1:11" x14ac:dyDescent="0.35">
      <c r="A171" s="20" t="s">
        <v>118</v>
      </c>
      <c r="B171" s="20" t="s">
        <v>163</v>
      </c>
      <c r="C171" s="20" t="s">
        <v>133</v>
      </c>
      <c r="D171" s="20" t="s">
        <v>444</v>
      </c>
      <c r="E171" s="20" t="s">
        <v>189</v>
      </c>
      <c r="F171" s="20" t="s">
        <v>450</v>
      </c>
      <c r="G171" s="20" t="s">
        <v>191</v>
      </c>
      <c r="H171" s="20">
        <v>1</v>
      </c>
      <c r="I171" s="20">
        <v>0</v>
      </c>
      <c r="J171" s="22">
        <f t="shared" si="6"/>
        <v>0</v>
      </c>
      <c r="K171" s="20">
        <f t="shared" si="7"/>
        <v>1</v>
      </c>
    </row>
    <row r="172" spans="1:11" x14ac:dyDescent="0.35">
      <c r="A172" s="20" t="s">
        <v>118</v>
      </c>
      <c r="B172" s="20" t="s">
        <v>163</v>
      </c>
      <c r="C172" s="20" t="s">
        <v>133</v>
      </c>
      <c r="D172" s="20" t="s">
        <v>444</v>
      </c>
      <c r="E172" s="20" t="s">
        <v>189</v>
      </c>
      <c r="F172" s="20" t="s">
        <v>451</v>
      </c>
      <c r="G172" s="20" t="s">
        <v>191</v>
      </c>
      <c r="H172" s="20">
        <v>1</v>
      </c>
      <c r="I172" s="20">
        <v>0</v>
      </c>
      <c r="J172" s="22">
        <f t="shared" si="6"/>
        <v>0</v>
      </c>
      <c r="K172" s="20">
        <f t="shared" si="7"/>
        <v>1</v>
      </c>
    </row>
    <row r="173" spans="1:11" x14ac:dyDescent="0.35">
      <c r="A173" s="20" t="s">
        <v>118</v>
      </c>
      <c r="B173" s="20" t="s">
        <v>163</v>
      </c>
      <c r="C173" s="20" t="s">
        <v>133</v>
      </c>
      <c r="D173" s="20" t="s">
        <v>444</v>
      </c>
      <c r="E173" s="20" t="s">
        <v>189</v>
      </c>
      <c r="F173" s="20" t="s">
        <v>452</v>
      </c>
      <c r="G173" s="20" t="s">
        <v>191</v>
      </c>
      <c r="H173" s="20">
        <v>1</v>
      </c>
      <c r="I173" s="20">
        <v>0</v>
      </c>
      <c r="J173" s="22">
        <f t="shared" si="6"/>
        <v>0</v>
      </c>
      <c r="K173" s="20">
        <f t="shared" si="7"/>
        <v>1</v>
      </c>
    </row>
    <row r="174" spans="1:11" x14ac:dyDescent="0.35">
      <c r="A174" s="20" t="s">
        <v>118</v>
      </c>
      <c r="B174" s="20" t="s">
        <v>163</v>
      </c>
      <c r="C174" s="20" t="s">
        <v>133</v>
      </c>
      <c r="D174" s="20" t="s">
        <v>444</v>
      </c>
      <c r="E174" s="20" t="s">
        <v>189</v>
      </c>
      <c r="F174" s="20" t="s">
        <v>453</v>
      </c>
      <c r="G174" s="20" t="s">
        <v>191</v>
      </c>
      <c r="H174" s="20">
        <v>1</v>
      </c>
      <c r="I174" s="20">
        <v>0</v>
      </c>
      <c r="J174" s="22">
        <f t="shared" si="6"/>
        <v>0</v>
      </c>
      <c r="K174" s="20">
        <f t="shared" si="7"/>
        <v>1</v>
      </c>
    </row>
    <row r="175" spans="1:11" x14ac:dyDescent="0.35">
      <c r="A175" s="20" t="s">
        <v>118</v>
      </c>
      <c r="B175" s="20" t="s">
        <v>163</v>
      </c>
      <c r="C175" s="20" t="s">
        <v>133</v>
      </c>
      <c r="D175" s="20" t="s">
        <v>444</v>
      </c>
      <c r="E175" s="20" t="s">
        <v>189</v>
      </c>
      <c r="F175" s="20" t="s">
        <v>454</v>
      </c>
      <c r="G175" s="20" t="s">
        <v>191</v>
      </c>
      <c r="H175" s="20">
        <v>1</v>
      </c>
      <c r="I175" s="20">
        <v>0</v>
      </c>
      <c r="J175" s="22">
        <f t="shared" si="6"/>
        <v>0</v>
      </c>
      <c r="K175" s="20">
        <f t="shared" si="7"/>
        <v>1</v>
      </c>
    </row>
    <row r="176" spans="1:11" x14ac:dyDescent="0.35">
      <c r="A176" s="20" t="s">
        <v>118</v>
      </c>
      <c r="B176" s="20" t="s">
        <v>163</v>
      </c>
      <c r="C176" s="20" t="s">
        <v>133</v>
      </c>
      <c r="D176" s="20" t="s">
        <v>444</v>
      </c>
      <c r="E176" s="20" t="s">
        <v>189</v>
      </c>
      <c r="F176" s="20" t="s">
        <v>455</v>
      </c>
      <c r="G176" s="20" t="s">
        <v>191</v>
      </c>
      <c r="H176" s="20">
        <v>1</v>
      </c>
      <c r="I176" s="20">
        <v>0</v>
      </c>
      <c r="J176" s="22">
        <f t="shared" si="6"/>
        <v>0</v>
      </c>
      <c r="K176" s="20">
        <f t="shared" si="7"/>
        <v>1</v>
      </c>
    </row>
    <row r="177" spans="1:11" x14ac:dyDescent="0.35">
      <c r="A177" s="20" t="s">
        <v>118</v>
      </c>
      <c r="B177" s="20" t="s">
        <v>163</v>
      </c>
      <c r="C177" s="20" t="s">
        <v>133</v>
      </c>
      <c r="D177" s="20" t="s">
        <v>444</v>
      </c>
      <c r="E177" s="20" t="s">
        <v>189</v>
      </c>
      <c r="F177" s="20" t="s">
        <v>456</v>
      </c>
      <c r="G177" s="20" t="s">
        <v>191</v>
      </c>
      <c r="H177" s="20">
        <v>1</v>
      </c>
      <c r="I177" s="20">
        <v>0</v>
      </c>
      <c r="J177" s="22">
        <f t="shared" si="6"/>
        <v>0</v>
      </c>
      <c r="K177" s="20">
        <f t="shared" si="7"/>
        <v>1</v>
      </c>
    </row>
    <row r="178" spans="1:11" x14ac:dyDescent="0.35">
      <c r="A178" s="20" t="s">
        <v>118</v>
      </c>
      <c r="B178" s="20" t="s">
        <v>163</v>
      </c>
      <c r="C178" s="20" t="s">
        <v>133</v>
      </c>
      <c r="D178" s="20" t="s">
        <v>444</v>
      </c>
      <c r="E178" s="20" t="s">
        <v>189</v>
      </c>
      <c r="F178" s="20" t="s">
        <v>457</v>
      </c>
      <c r="G178" s="20" t="s">
        <v>191</v>
      </c>
      <c r="H178" s="20">
        <v>1</v>
      </c>
      <c r="I178" s="20">
        <v>0</v>
      </c>
      <c r="J178" s="22">
        <f t="shared" si="6"/>
        <v>0</v>
      </c>
      <c r="K178" s="20">
        <f t="shared" si="7"/>
        <v>1</v>
      </c>
    </row>
    <row r="179" spans="1:11" x14ac:dyDescent="0.35">
      <c r="A179" s="20" t="s">
        <v>118</v>
      </c>
      <c r="B179" s="20" t="s">
        <v>163</v>
      </c>
      <c r="C179" s="20" t="s">
        <v>133</v>
      </c>
      <c r="D179" s="20" t="s">
        <v>444</v>
      </c>
      <c r="E179" s="20" t="s">
        <v>189</v>
      </c>
      <c r="F179" s="20" t="s">
        <v>458</v>
      </c>
      <c r="G179" s="20" t="s">
        <v>191</v>
      </c>
      <c r="H179" s="20">
        <v>1</v>
      </c>
      <c r="I179" s="20">
        <v>0</v>
      </c>
      <c r="J179" s="22">
        <f t="shared" si="6"/>
        <v>0</v>
      </c>
      <c r="K179" s="20">
        <f t="shared" si="7"/>
        <v>1</v>
      </c>
    </row>
    <row r="180" spans="1:11" x14ac:dyDescent="0.35">
      <c r="A180" s="20" t="s">
        <v>118</v>
      </c>
      <c r="B180" s="20" t="s">
        <v>163</v>
      </c>
      <c r="C180" s="20" t="s">
        <v>133</v>
      </c>
      <c r="D180" s="20" t="s">
        <v>444</v>
      </c>
      <c r="E180" s="20" t="s">
        <v>189</v>
      </c>
      <c r="F180" s="20" t="s">
        <v>459</v>
      </c>
      <c r="G180" s="20" t="s">
        <v>191</v>
      </c>
      <c r="H180" s="20">
        <v>1</v>
      </c>
      <c r="I180" s="20">
        <v>0</v>
      </c>
      <c r="J180" s="22">
        <f t="shared" si="6"/>
        <v>0</v>
      </c>
      <c r="K180" s="20">
        <f t="shared" si="7"/>
        <v>1</v>
      </c>
    </row>
    <row r="181" spans="1:11" x14ac:dyDescent="0.35">
      <c r="A181" s="20" t="s">
        <v>118</v>
      </c>
      <c r="B181" s="20" t="s">
        <v>163</v>
      </c>
      <c r="C181" s="20" t="s">
        <v>133</v>
      </c>
      <c r="D181" s="20" t="s">
        <v>444</v>
      </c>
      <c r="E181" s="20" t="s">
        <v>189</v>
      </c>
      <c r="F181" s="20" t="s">
        <v>460</v>
      </c>
      <c r="G181" s="20" t="s">
        <v>191</v>
      </c>
      <c r="H181" s="20">
        <v>1</v>
      </c>
      <c r="I181" s="20">
        <v>0</v>
      </c>
      <c r="J181" s="22">
        <f t="shared" si="6"/>
        <v>0</v>
      </c>
      <c r="K181" s="20">
        <f t="shared" si="7"/>
        <v>1</v>
      </c>
    </row>
    <row r="182" spans="1:11" x14ac:dyDescent="0.35">
      <c r="A182" s="20" t="s">
        <v>118</v>
      </c>
      <c r="B182" s="20" t="s">
        <v>163</v>
      </c>
      <c r="C182" s="20" t="s">
        <v>133</v>
      </c>
      <c r="D182" s="20" t="s">
        <v>444</v>
      </c>
      <c r="E182" s="20" t="s">
        <v>189</v>
      </c>
      <c r="F182" s="20" t="s">
        <v>461</v>
      </c>
      <c r="G182" s="20" t="s">
        <v>191</v>
      </c>
      <c r="H182" s="20">
        <v>1</v>
      </c>
      <c r="I182" s="20">
        <v>0</v>
      </c>
      <c r="J182" s="22">
        <f t="shared" si="6"/>
        <v>0</v>
      </c>
      <c r="K182" s="20">
        <f t="shared" si="7"/>
        <v>1</v>
      </c>
    </row>
    <row r="183" spans="1:11" x14ac:dyDescent="0.35">
      <c r="A183" s="20" t="s">
        <v>118</v>
      </c>
      <c r="B183" s="20" t="s">
        <v>163</v>
      </c>
      <c r="C183" s="20" t="s">
        <v>133</v>
      </c>
      <c r="D183" s="20" t="s">
        <v>444</v>
      </c>
      <c r="E183" s="20" t="s">
        <v>189</v>
      </c>
      <c r="F183" s="20" t="s">
        <v>462</v>
      </c>
      <c r="G183" s="20" t="s">
        <v>191</v>
      </c>
      <c r="H183" s="20">
        <v>1</v>
      </c>
      <c r="I183" s="20">
        <v>0</v>
      </c>
      <c r="J183" s="22">
        <f t="shared" si="6"/>
        <v>0</v>
      </c>
      <c r="K183" s="20">
        <f t="shared" si="7"/>
        <v>1</v>
      </c>
    </row>
    <row r="184" spans="1:11" x14ac:dyDescent="0.35">
      <c r="A184" s="20" t="s">
        <v>118</v>
      </c>
      <c r="B184" s="20" t="s">
        <v>163</v>
      </c>
      <c r="C184" s="20" t="s">
        <v>133</v>
      </c>
      <c r="D184" s="20" t="s">
        <v>444</v>
      </c>
      <c r="E184" s="20" t="s">
        <v>189</v>
      </c>
      <c r="F184" s="20" t="s">
        <v>463</v>
      </c>
      <c r="G184" s="20" t="s">
        <v>191</v>
      </c>
      <c r="H184" s="20">
        <v>1</v>
      </c>
      <c r="I184" s="20">
        <v>0</v>
      </c>
      <c r="J184" s="22">
        <f t="shared" si="6"/>
        <v>0</v>
      </c>
      <c r="K184" s="20">
        <f t="shared" si="7"/>
        <v>1</v>
      </c>
    </row>
    <row r="185" spans="1:11" x14ac:dyDescent="0.35">
      <c r="A185" s="20" t="s">
        <v>118</v>
      </c>
      <c r="B185" s="20" t="s">
        <v>163</v>
      </c>
      <c r="C185" s="20" t="s">
        <v>133</v>
      </c>
      <c r="D185" s="20" t="s">
        <v>444</v>
      </c>
      <c r="E185" s="20" t="s">
        <v>189</v>
      </c>
      <c r="F185" s="20" t="s">
        <v>464</v>
      </c>
      <c r="G185" s="20" t="s">
        <v>191</v>
      </c>
      <c r="H185" s="20">
        <v>1</v>
      </c>
      <c r="I185" s="20">
        <v>0</v>
      </c>
      <c r="J185" s="22">
        <f t="shared" si="6"/>
        <v>0</v>
      </c>
      <c r="K185" s="20">
        <f t="shared" si="7"/>
        <v>1</v>
      </c>
    </row>
    <row r="186" spans="1:11" x14ac:dyDescent="0.35">
      <c r="A186" s="20" t="s">
        <v>118</v>
      </c>
      <c r="B186" s="20" t="s">
        <v>163</v>
      </c>
      <c r="C186" s="20" t="s">
        <v>133</v>
      </c>
      <c r="D186" s="20" t="s">
        <v>444</v>
      </c>
      <c r="E186" s="20" t="s">
        <v>189</v>
      </c>
      <c r="F186" s="20" t="s">
        <v>465</v>
      </c>
      <c r="G186" s="20" t="s">
        <v>191</v>
      </c>
      <c r="H186" s="20">
        <v>1</v>
      </c>
      <c r="I186" s="20">
        <v>0</v>
      </c>
      <c r="J186" s="22">
        <f t="shared" si="6"/>
        <v>0</v>
      </c>
      <c r="K186" s="20">
        <f t="shared" si="7"/>
        <v>1</v>
      </c>
    </row>
    <row r="187" spans="1:11" x14ac:dyDescent="0.35">
      <c r="A187" s="20" t="s">
        <v>118</v>
      </c>
      <c r="B187" s="20" t="s">
        <v>163</v>
      </c>
      <c r="C187" s="20" t="s">
        <v>133</v>
      </c>
      <c r="D187" s="20" t="s">
        <v>444</v>
      </c>
      <c r="E187" s="20" t="s">
        <v>189</v>
      </c>
      <c r="F187" s="20" t="s">
        <v>466</v>
      </c>
      <c r="G187" s="20" t="s">
        <v>191</v>
      </c>
      <c r="H187" s="20">
        <v>1</v>
      </c>
      <c r="I187" s="20">
        <v>0</v>
      </c>
      <c r="J187" s="22">
        <f t="shared" si="6"/>
        <v>0</v>
      </c>
      <c r="K187" s="20">
        <f t="shared" si="7"/>
        <v>1</v>
      </c>
    </row>
    <row r="188" spans="1:11" x14ac:dyDescent="0.35">
      <c r="A188" s="20" t="s">
        <v>118</v>
      </c>
      <c r="B188" s="20" t="s">
        <v>163</v>
      </c>
      <c r="C188" s="20" t="s">
        <v>133</v>
      </c>
      <c r="D188" s="20" t="s">
        <v>444</v>
      </c>
      <c r="E188" s="20" t="s">
        <v>189</v>
      </c>
      <c r="F188" s="20" t="s">
        <v>467</v>
      </c>
      <c r="G188" s="20" t="s">
        <v>191</v>
      </c>
      <c r="H188" s="20">
        <v>1</v>
      </c>
      <c r="I188" s="20">
        <v>0</v>
      </c>
      <c r="J188" s="22">
        <f t="shared" si="6"/>
        <v>0</v>
      </c>
      <c r="K188" s="20">
        <f t="shared" si="7"/>
        <v>1</v>
      </c>
    </row>
    <row r="189" spans="1:11" x14ac:dyDescent="0.35">
      <c r="A189" s="20" t="s">
        <v>118</v>
      </c>
      <c r="B189" s="20" t="s">
        <v>163</v>
      </c>
      <c r="C189" s="20" t="s">
        <v>133</v>
      </c>
      <c r="D189" s="20" t="s">
        <v>444</v>
      </c>
      <c r="E189" s="20" t="s">
        <v>189</v>
      </c>
      <c r="F189" s="20" t="s">
        <v>468</v>
      </c>
      <c r="G189" s="20" t="s">
        <v>191</v>
      </c>
      <c r="H189" s="20">
        <v>1</v>
      </c>
      <c r="I189" s="20">
        <v>0</v>
      </c>
      <c r="J189" s="22">
        <f t="shared" si="6"/>
        <v>0</v>
      </c>
      <c r="K189" s="20">
        <f t="shared" si="7"/>
        <v>1</v>
      </c>
    </row>
    <row r="190" spans="1:11" x14ac:dyDescent="0.35">
      <c r="A190" s="20" t="s">
        <v>118</v>
      </c>
      <c r="B190" s="20" t="s">
        <v>163</v>
      </c>
      <c r="C190" s="20" t="s">
        <v>133</v>
      </c>
      <c r="D190" s="20" t="s">
        <v>444</v>
      </c>
      <c r="E190" s="20" t="s">
        <v>189</v>
      </c>
      <c r="F190" s="20" t="s">
        <v>469</v>
      </c>
      <c r="G190" s="20" t="s">
        <v>191</v>
      </c>
      <c r="H190" s="20">
        <v>1</v>
      </c>
      <c r="I190" s="20">
        <v>0</v>
      </c>
      <c r="J190" s="22">
        <f t="shared" si="6"/>
        <v>0</v>
      </c>
      <c r="K190" s="20">
        <f t="shared" si="7"/>
        <v>1</v>
      </c>
    </row>
    <row r="191" spans="1:11" x14ac:dyDescent="0.35">
      <c r="A191" s="20" t="s">
        <v>118</v>
      </c>
      <c r="B191" s="20" t="s">
        <v>163</v>
      </c>
      <c r="C191" s="20" t="s">
        <v>133</v>
      </c>
      <c r="D191" s="20" t="s">
        <v>444</v>
      </c>
      <c r="E191" s="20" t="s">
        <v>189</v>
      </c>
      <c r="F191" s="20" t="s">
        <v>470</v>
      </c>
      <c r="G191" s="20" t="s">
        <v>191</v>
      </c>
      <c r="H191" s="20">
        <v>1</v>
      </c>
      <c r="I191" s="20">
        <v>0</v>
      </c>
      <c r="J191" s="22">
        <f t="shared" si="6"/>
        <v>0</v>
      </c>
      <c r="K191" s="20">
        <f t="shared" si="7"/>
        <v>1</v>
      </c>
    </row>
    <row r="192" spans="1:11" x14ac:dyDescent="0.35">
      <c r="A192" s="20" t="s">
        <v>118</v>
      </c>
      <c r="B192" s="20" t="s">
        <v>163</v>
      </c>
      <c r="C192" s="20" t="s">
        <v>133</v>
      </c>
      <c r="D192" s="20" t="s">
        <v>444</v>
      </c>
      <c r="E192" s="20" t="s">
        <v>189</v>
      </c>
      <c r="F192" s="20" t="s">
        <v>471</v>
      </c>
      <c r="G192" s="20" t="s">
        <v>191</v>
      </c>
      <c r="H192" s="20">
        <v>1</v>
      </c>
      <c r="I192" s="20">
        <v>0</v>
      </c>
      <c r="J192" s="22">
        <f t="shared" si="6"/>
        <v>0</v>
      </c>
      <c r="K192" s="20">
        <f t="shared" si="7"/>
        <v>1</v>
      </c>
    </row>
    <row r="193" spans="1:11" x14ac:dyDescent="0.35">
      <c r="A193" s="20" t="s">
        <v>118</v>
      </c>
      <c r="B193" s="20" t="s">
        <v>163</v>
      </c>
      <c r="C193" s="20" t="s">
        <v>133</v>
      </c>
      <c r="D193" s="20" t="s">
        <v>444</v>
      </c>
      <c r="E193" s="20" t="s">
        <v>189</v>
      </c>
      <c r="F193" s="20" t="s">
        <v>472</v>
      </c>
      <c r="G193" s="20" t="s">
        <v>191</v>
      </c>
      <c r="H193" s="20">
        <v>1</v>
      </c>
      <c r="I193" s="20">
        <v>0</v>
      </c>
      <c r="J193" s="22">
        <f t="shared" si="6"/>
        <v>0</v>
      </c>
      <c r="K193" s="20">
        <f t="shared" si="7"/>
        <v>1</v>
      </c>
    </row>
    <row r="194" spans="1:11" x14ac:dyDescent="0.35">
      <c r="A194" s="20" t="s">
        <v>118</v>
      </c>
      <c r="B194" s="20" t="s">
        <v>163</v>
      </c>
      <c r="C194" s="20" t="s">
        <v>133</v>
      </c>
      <c r="D194" s="20" t="s">
        <v>444</v>
      </c>
      <c r="E194" s="20" t="s">
        <v>189</v>
      </c>
      <c r="F194" s="20" t="s">
        <v>473</v>
      </c>
      <c r="G194" s="20" t="s">
        <v>191</v>
      </c>
      <c r="H194" s="20">
        <v>1</v>
      </c>
      <c r="I194" s="20">
        <v>0</v>
      </c>
      <c r="J194" s="22">
        <f t="shared" si="6"/>
        <v>0</v>
      </c>
      <c r="K194" s="20">
        <f t="shared" si="7"/>
        <v>1</v>
      </c>
    </row>
    <row r="195" spans="1:11" x14ac:dyDescent="0.35">
      <c r="A195" s="20" t="s">
        <v>118</v>
      </c>
      <c r="B195" s="20" t="s">
        <v>163</v>
      </c>
      <c r="C195" s="20" t="s">
        <v>133</v>
      </c>
      <c r="D195" s="20" t="s">
        <v>444</v>
      </c>
      <c r="E195" s="20" t="s">
        <v>189</v>
      </c>
      <c r="F195" s="20" t="s">
        <v>474</v>
      </c>
      <c r="G195" s="20" t="s">
        <v>191</v>
      </c>
      <c r="H195" s="20">
        <v>1</v>
      </c>
      <c r="I195" s="20">
        <v>0</v>
      </c>
      <c r="J195" s="22">
        <f t="shared" si="6"/>
        <v>0</v>
      </c>
      <c r="K195" s="20">
        <f t="shared" si="7"/>
        <v>1</v>
      </c>
    </row>
    <row r="196" spans="1:11" x14ac:dyDescent="0.35">
      <c r="A196" s="20" t="s">
        <v>118</v>
      </c>
      <c r="B196" s="20" t="s">
        <v>163</v>
      </c>
      <c r="C196" s="20" t="s">
        <v>133</v>
      </c>
      <c r="D196" s="20" t="s">
        <v>444</v>
      </c>
      <c r="E196" s="20" t="s">
        <v>189</v>
      </c>
      <c r="F196" s="20" t="s">
        <v>475</v>
      </c>
      <c r="G196" s="20" t="s">
        <v>191</v>
      </c>
      <c r="H196" s="20">
        <v>1</v>
      </c>
      <c r="I196" s="20">
        <v>0</v>
      </c>
      <c r="J196" s="22">
        <f t="shared" si="6"/>
        <v>0</v>
      </c>
      <c r="K196" s="20">
        <f t="shared" si="7"/>
        <v>1</v>
      </c>
    </row>
    <row r="197" spans="1:11" x14ac:dyDescent="0.35">
      <c r="A197" s="20" t="s">
        <v>118</v>
      </c>
      <c r="B197" s="20" t="s">
        <v>163</v>
      </c>
      <c r="C197" s="20" t="s">
        <v>133</v>
      </c>
      <c r="D197" s="20" t="s">
        <v>444</v>
      </c>
      <c r="E197" s="20" t="s">
        <v>189</v>
      </c>
      <c r="F197" s="20" t="s">
        <v>476</v>
      </c>
      <c r="G197" s="20" t="s">
        <v>191</v>
      </c>
      <c r="H197" s="20">
        <v>1</v>
      </c>
      <c r="I197" s="20">
        <v>0</v>
      </c>
      <c r="J197" s="22">
        <f t="shared" si="6"/>
        <v>0</v>
      </c>
      <c r="K197" s="20">
        <f t="shared" si="7"/>
        <v>1</v>
      </c>
    </row>
    <row r="198" spans="1:11" x14ac:dyDescent="0.35">
      <c r="A198" s="20" t="s">
        <v>118</v>
      </c>
      <c r="B198" s="20" t="s">
        <v>163</v>
      </c>
      <c r="C198" s="20" t="s">
        <v>133</v>
      </c>
      <c r="D198" s="20" t="s">
        <v>444</v>
      </c>
      <c r="E198" s="20" t="s">
        <v>189</v>
      </c>
      <c r="F198" s="20" t="s">
        <v>477</v>
      </c>
      <c r="G198" s="20" t="s">
        <v>191</v>
      </c>
      <c r="H198" s="20">
        <v>1</v>
      </c>
      <c r="I198" s="20">
        <v>0</v>
      </c>
      <c r="J198" s="22">
        <f t="shared" si="6"/>
        <v>0</v>
      </c>
      <c r="K198" s="20">
        <f t="shared" si="7"/>
        <v>1</v>
      </c>
    </row>
    <row r="199" spans="1:11" x14ac:dyDescent="0.35">
      <c r="A199" s="20" t="s">
        <v>118</v>
      </c>
      <c r="B199" s="20" t="s">
        <v>163</v>
      </c>
      <c r="C199" s="20" t="s">
        <v>133</v>
      </c>
      <c r="D199" s="20" t="s">
        <v>444</v>
      </c>
      <c r="E199" s="20" t="s">
        <v>189</v>
      </c>
      <c r="F199" s="20" t="s">
        <v>478</v>
      </c>
      <c r="G199" s="20" t="s">
        <v>191</v>
      </c>
      <c r="H199" s="20">
        <v>1</v>
      </c>
      <c r="I199" s="20">
        <v>0</v>
      </c>
      <c r="J199" s="22">
        <f t="shared" si="6"/>
        <v>0</v>
      </c>
      <c r="K199" s="20">
        <f t="shared" si="7"/>
        <v>1</v>
      </c>
    </row>
    <row r="200" spans="1:11" x14ac:dyDescent="0.35">
      <c r="A200" s="20" t="s">
        <v>118</v>
      </c>
      <c r="B200" s="20" t="s">
        <v>163</v>
      </c>
      <c r="C200" s="20" t="s">
        <v>133</v>
      </c>
      <c r="D200" s="20" t="s">
        <v>444</v>
      </c>
      <c r="E200" s="20" t="s">
        <v>189</v>
      </c>
      <c r="F200" s="20" t="s">
        <v>479</v>
      </c>
      <c r="G200" s="20" t="s">
        <v>191</v>
      </c>
      <c r="H200" s="20">
        <v>1</v>
      </c>
      <c r="I200" s="20">
        <v>0</v>
      </c>
      <c r="J200" s="22">
        <f t="shared" si="6"/>
        <v>0</v>
      </c>
      <c r="K200" s="20">
        <f t="shared" si="7"/>
        <v>1</v>
      </c>
    </row>
    <row r="201" spans="1:11" x14ac:dyDescent="0.35">
      <c r="A201" s="20" t="s">
        <v>118</v>
      </c>
      <c r="B201" s="20" t="s">
        <v>163</v>
      </c>
      <c r="C201" s="20" t="s">
        <v>133</v>
      </c>
      <c r="D201" s="20" t="s">
        <v>444</v>
      </c>
      <c r="E201" s="20" t="s">
        <v>189</v>
      </c>
      <c r="F201" s="20" t="s">
        <v>480</v>
      </c>
      <c r="G201" s="20" t="s">
        <v>191</v>
      </c>
      <c r="H201" s="20">
        <v>1</v>
      </c>
      <c r="I201" s="20">
        <v>0</v>
      </c>
      <c r="J201" s="22">
        <f t="shared" si="6"/>
        <v>0</v>
      </c>
      <c r="K201" s="20">
        <f t="shared" si="7"/>
        <v>1</v>
      </c>
    </row>
    <row r="202" spans="1:11" x14ac:dyDescent="0.35">
      <c r="A202" s="20" t="s">
        <v>118</v>
      </c>
      <c r="B202" s="20" t="s">
        <v>163</v>
      </c>
      <c r="C202" s="20" t="s">
        <v>133</v>
      </c>
      <c r="D202" s="20" t="s">
        <v>444</v>
      </c>
      <c r="E202" s="20" t="s">
        <v>189</v>
      </c>
      <c r="F202" s="20" t="s">
        <v>481</v>
      </c>
      <c r="G202" s="20" t="s">
        <v>191</v>
      </c>
      <c r="H202" s="20">
        <v>1</v>
      </c>
      <c r="I202" s="20">
        <v>0</v>
      </c>
      <c r="J202" s="22">
        <f t="shared" si="6"/>
        <v>0</v>
      </c>
      <c r="K202" s="20">
        <f t="shared" si="7"/>
        <v>1</v>
      </c>
    </row>
    <row r="203" spans="1:11" x14ac:dyDescent="0.35">
      <c r="A203" s="20" t="s">
        <v>118</v>
      </c>
      <c r="B203" s="20" t="s">
        <v>163</v>
      </c>
      <c r="C203" s="20" t="s">
        <v>133</v>
      </c>
      <c r="D203" s="20" t="s">
        <v>444</v>
      </c>
      <c r="E203" s="20" t="s">
        <v>189</v>
      </c>
      <c r="F203" s="20" t="s">
        <v>482</v>
      </c>
      <c r="G203" s="20" t="s">
        <v>191</v>
      </c>
      <c r="H203" s="20">
        <v>1</v>
      </c>
      <c r="I203" s="20">
        <v>0</v>
      </c>
      <c r="J203" s="22">
        <f t="shared" si="6"/>
        <v>0</v>
      </c>
      <c r="K203" s="20">
        <f t="shared" si="7"/>
        <v>1</v>
      </c>
    </row>
    <row r="204" spans="1:11" x14ac:dyDescent="0.35">
      <c r="A204" s="20" t="s">
        <v>118</v>
      </c>
      <c r="B204" s="20" t="s">
        <v>163</v>
      </c>
      <c r="C204" s="20" t="s">
        <v>133</v>
      </c>
      <c r="D204" s="20" t="s">
        <v>444</v>
      </c>
      <c r="E204" s="20" t="s">
        <v>189</v>
      </c>
      <c r="F204" s="20" t="s">
        <v>483</v>
      </c>
      <c r="G204" s="20" t="s">
        <v>191</v>
      </c>
      <c r="H204" s="20">
        <v>1</v>
      </c>
      <c r="I204" s="20">
        <v>0</v>
      </c>
      <c r="J204" s="22">
        <f t="shared" si="6"/>
        <v>0</v>
      </c>
      <c r="K204" s="20">
        <f t="shared" si="7"/>
        <v>1</v>
      </c>
    </row>
    <row r="205" spans="1:11" x14ac:dyDescent="0.35">
      <c r="A205" s="20" t="s">
        <v>118</v>
      </c>
      <c r="B205" s="20" t="s">
        <v>163</v>
      </c>
      <c r="C205" s="20" t="s">
        <v>133</v>
      </c>
      <c r="D205" s="20" t="s">
        <v>444</v>
      </c>
      <c r="E205" s="20" t="s">
        <v>189</v>
      </c>
      <c r="F205" s="20" t="s">
        <v>484</v>
      </c>
      <c r="G205" s="20" t="s">
        <v>191</v>
      </c>
      <c r="H205" s="20">
        <v>1</v>
      </c>
      <c r="I205" s="20">
        <v>0</v>
      </c>
      <c r="J205" s="22">
        <f t="shared" si="6"/>
        <v>0</v>
      </c>
      <c r="K205" s="20">
        <f t="shared" si="7"/>
        <v>1</v>
      </c>
    </row>
    <row r="206" spans="1:11" x14ac:dyDescent="0.35">
      <c r="A206" s="20" t="s">
        <v>118</v>
      </c>
      <c r="B206" s="20" t="s">
        <v>163</v>
      </c>
      <c r="C206" s="20" t="s">
        <v>133</v>
      </c>
      <c r="D206" s="20" t="s">
        <v>444</v>
      </c>
      <c r="E206" s="20" t="s">
        <v>189</v>
      </c>
      <c r="F206" s="20" t="s">
        <v>485</v>
      </c>
      <c r="G206" s="20" t="s">
        <v>191</v>
      </c>
      <c r="H206" s="20">
        <v>1</v>
      </c>
      <c r="I206" s="20">
        <v>0</v>
      </c>
      <c r="J206" s="22">
        <f t="shared" si="6"/>
        <v>0</v>
      </c>
      <c r="K206" s="20">
        <f t="shared" si="7"/>
        <v>1</v>
      </c>
    </row>
    <row r="207" spans="1:11" x14ac:dyDescent="0.35">
      <c r="A207" s="20" t="s">
        <v>118</v>
      </c>
      <c r="B207" s="20" t="s">
        <v>163</v>
      </c>
      <c r="C207" s="20" t="s">
        <v>133</v>
      </c>
      <c r="D207" s="20" t="s">
        <v>444</v>
      </c>
      <c r="E207" s="20" t="s">
        <v>189</v>
      </c>
      <c r="F207" s="20" t="s">
        <v>486</v>
      </c>
      <c r="G207" s="20" t="s">
        <v>191</v>
      </c>
      <c r="H207" s="20">
        <v>1</v>
      </c>
      <c r="I207" s="20">
        <v>0</v>
      </c>
      <c r="J207" s="22">
        <f t="shared" si="6"/>
        <v>0</v>
      </c>
      <c r="K207" s="20">
        <f t="shared" si="7"/>
        <v>1</v>
      </c>
    </row>
    <row r="208" spans="1:11" x14ac:dyDescent="0.35">
      <c r="A208" s="20" t="s">
        <v>118</v>
      </c>
      <c r="B208" s="20" t="s">
        <v>163</v>
      </c>
      <c r="C208" s="20" t="s">
        <v>133</v>
      </c>
      <c r="D208" s="20" t="s">
        <v>487</v>
      </c>
      <c r="E208" s="20" t="s">
        <v>189</v>
      </c>
      <c r="F208" s="20" t="s">
        <v>488</v>
      </c>
      <c r="G208" s="20" t="s">
        <v>191</v>
      </c>
      <c r="H208" s="20">
        <v>1</v>
      </c>
      <c r="I208" s="20">
        <v>0</v>
      </c>
      <c r="J208" s="22">
        <f t="shared" si="6"/>
        <v>0</v>
      </c>
      <c r="K208" s="20">
        <f t="shared" si="7"/>
        <v>1</v>
      </c>
    </row>
    <row r="209" spans="1:11" x14ac:dyDescent="0.35">
      <c r="A209" s="20" t="s">
        <v>118</v>
      </c>
      <c r="B209" s="20" t="s">
        <v>163</v>
      </c>
      <c r="C209" s="20" t="s">
        <v>133</v>
      </c>
      <c r="D209" s="20" t="s">
        <v>489</v>
      </c>
      <c r="E209" s="20" t="s">
        <v>189</v>
      </c>
      <c r="F209" s="20" t="s">
        <v>490</v>
      </c>
      <c r="G209" s="20" t="s">
        <v>191</v>
      </c>
      <c r="H209" s="20">
        <v>1</v>
      </c>
      <c r="I209" s="20">
        <v>0</v>
      </c>
      <c r="J209" s="22">
        <f t="shared" si="6"/>
        <v>0</v>
      </c>
      <c r="K209" s="20">
        <f t="shared" si="7"/>
        <v>1</v>
      </c>
    </row>
    <row r="210" spans="1:11" x14ac:dyDescent="0.35">
      <c r="A210" s="20" t="s">
        <v>118</v>
      </c>
      <c r="B210" s="20" t="s">
        <v>163</v>
      </c>
      <c r="C210" s="20" t="s">
        <v>133</v>
      </c>
      <c r="D210" s="20" t="s">
        <v>489</v>
      </c>
      <c r="E210" s="20" t="s">
        <v>189</v>
      </c>
      <c r="F210" s="20" t="s">
        <v>491</v>
      </c>
      <c r="G210" s="20" t="s">
        <v>191</v>
      </c>
      <c r="H210" s="20">
        <v>1</v>
      </c>
      <c r="I210" s="20">
        <v>0</v>
      </c>
      <c r="J210" s="22">
        <f t="shared" si="6"/>
        <v>0</v>
      </c>
      <c r="K210" s="20">
        <f t="shared" si="7"/>
        <v>1</v>
      </c>
    </row>
    <row r="211" spans="1:11" x14ac:dyDescent="0.35">
      <c r="A211" s="20" t="s">
        <v>118</v>
      </c>
      <c r="B211" s="20" t="s">
        <v>163</v>
      </c>
      <c r="C211" s="20" t="s">
        <v>133</v>
      </c>
      <c r="D211" s="20" t="s">
        <v>492</v>
      </c>
      <c r="E211" s="20" t="s">
        <v>189</v>
      </c>
      <c r="F211" s="20" t="s">
        <v>493</v>
      </c>
      <c r="G211" s="20" t="s">
        <v>191</v>
      </c>
      <c r="H211" s="20">
        <v>1</v>
      </c>
      <c r="I211" s="20">
        <v>0</v>
      </c>
      <c r="J211" s="22">
        <f t="shared" si="6"/>
        <v>0</v>
      </c>
      <c r="K211" s="20">
        <f t="shared" si="7"/>
        <v>1</v>
      </c>
    </row>
    <row r="212" spans="1:11" x14ac:dyDescent="0.35">
      <c r="A212" s="20" t="s">
        <v>118</v>
      </c>
      <c r="B212" s="20" t="s">
        <v>163</v>
      </c>
      <c r="C212" s="20" t="s">
        <v>133</v>
      </c>
      <c r="D212" s="20" t="s">
        <v>494</v>
      </c>
      <c r="E212" s="20" t="s">
        <v>189</v>
      </c>
      <c r="F212" s="20" t="s">
        <v>495</v>
      </c>
      <c r="G212" s="20" t="s">
        <v>191</v>
      </c>
      <c r="H212" s="20">
        <v>1</v>
      </c>
      <c r="I212" s="20">
        <v>0</v>
      </c>
      <c r="J212" s="22">
        <f t="shared" si="6"/>
        <v>0</v>
      </c>
      <c r="K212" s="20">
        <f t="shared" si="7"/>
        <v>1</v>
      </c>
    </row>
    <row r="213" spans="1:11" x14ac:dyDescent="0.35">
      <c r="A213" s="20" t="s">
        <v>118</v>
      </c>
      <c r="B213" s="20" t="s">
        <v>163</v>
      </c>
      <c r="C213" s="20" t="s">
        <v>133</v>
      </c>
      <c r="D213" s="20" t="s">
        <v>434</v>
      </c>
      <c r="E213" s="20" t="s">
        <v>189</v>
      </c>
      <c r="F213" s="20" t="s">
        <v>496</v>
      </c>
      <c r="G213" s="20" t="s">
        <v>191</v>
      </c>
      <c r="H213" s="20">
        <v>1</v>
      </c>
      <c r="I213" s="20">
        <v>0</v>
      </c>
      <c r="J213" s="22">
        <f t="shared" si="6"/>
        <v>0</v>
      </c>
      <c r="K213" s="20">
        <f t="shared" si="7"/>
        <v>1</v>
      </c>
    </row>
    <row r="214" spans="1:11" x14ac:dyDescent="0.35">
      <c r="A214" s="20" t="s">
        <v>118</v>
      </c>
      <c r="B214" s="20" t="s">
        <v>163</v>
      </c>
      <c r="C214" s="20" t="s">
        <v>133</v>
      </c>
      <c r="D214" s="20" t="s">
        <v>434</v>
      </c>
      <c r="E214" s="20" t="s">
        <v>189</v>
      </c>
      <c r="F214" s="20" t="s">
        <v>497</v>
      </c>
      <c r="G214" s="20" t="s">
        <v>191</v>
      </c>
      <c r="H214" s="20">
        <v>1</v>
      </c>
      <c r="I214" s="20">
        <v>0</v>
      </c>
      <c r="J214" s="22">
        <f t="shared" si="6"/>
        <v>0</v>
      </c>
      <c r="K214" s="20">
        <f t="shared" si="7"/>
        <v>1</v>
      </c>
    </row>
    <row r="215" spans="1:11" x14ac:dyDescent="0.35">
      <c r="A215" s="20" t="s">
        <v>118</v>
      </c>
      <c r="B215" s="20" t="s">
        <v>163</v>
      </c>
      <c r="C215" s="20" t="s">
        <v>133</v>
      </c>
      <c r="D215" s="20" t="s">
        <v>437</v>
      </c>
      <c r="E215" s="20" t="s">
        <v>189</v>
      </c>
      <c r="F215" s="20" t="s">
        <v>498</v>
      </c>
      <c r="G215" s="20" t="s">
        <v>191</v>
      </c>
      <c r="H215" s="20">
        <v>1</v>
      </c>
      <c r="I215" s="20">
        <v>0</v>
      </c>
      <c r="J215" s="22">
        <f t="shared" si="6"/>
        <v>0</v>
      </c>
      <c r="K215" s="20">
        <f t="shared" si="7"/>
        <v>1</v>
      </c>
    </row>
    <row r="216" spans="1:11" x14ac:dyDescent="0.35">
      <c r="A216" s="20" t="s">
        <v>118</v>
      </c>
      <c r="B216" s="20" t="s">
        <v>163</v>
      </c>
      <c r="C216" s="20" t="s">
        <v>133</v>
      </c>
      <c r="D216" s="20" t="s">
        <v>437</v>
      </c>
      <c r="E216" s="20" t="s">
        <v>189</v>
      </c>
      <c r="F216" s="20" t="s">
        <v>499</v>
      </c>
      <c r="G216" s="20" t="s">
        <v>191</v>
      </c>
      <c r="H216" s="20">
        <v>1</v>
      </c>
      <c r="I216" s="20">
        <v>0</v>
      </c>
      <c r="J216" s="22">
        <f t="shared" si="6"/>
        <v>0</v>
      </c>
      <c r="K216" s="20">
        <f t="shared" si="7"/>
        <v>1</v>
      </c>
    </row>
    <row r="217" spans="1:11" x14ac:dyDescent="0.35">
      <c r="A217" s="20" t="s">
        <v>118</v>
      </c>
      <c r="B217" s="20" t="s">
        <v>163</v>
      </c>
      <c r="C217" s="20" t="s">
        <v>133</v>
      </c>
      <c r="D217" s="20" t="s">
        <v>439</v>
      </c>
      <c r="E217" s="20" t="s">
        <v>189</v>
      </c>
      <c r="F217" s="20" t="s">
        <v>500</v>
      </c>
      <c r="G217" s="20" t="s">
        <v>191</v>
      </c>
      <c r="H217" s="20">
        <v>1</v>
      </c>
      <c r="I217" s="20">
        <v>0</v>
      </c>
      <c r="J217" s="22">
        <f t="shared" si="6"/>
        <v>0</v>
      </c>
      <c r="K217" s="20">
        <f t="shared" si="7"/>
        <v>1</v>
      </c>
    </row>
    <row r="218" spans="1:11" x14ac:dyDescent="0.35">
      <c r="A218" s="20" t="s">
        <v>118</v>
      </c>
      <c r="B218" s="20" t="s">
        <v>163</v>
      </c>
      <c r="C218" s="20" t="s">
        <v>133</v>
      </c>
      <c r="D218" s="20" t="s">
        <v>439</v>
      </c>
      <c r="E218" s="20" t="s">
        <v>189</v>
      </c>
      <c r="F218" s="20" t="s">
        <v>501</v>
      </c>
      <c r="G218" s="20" t="s">
        <v>191</v>
      </c>
      <c r="H218" s="20">
        <v>1</v>
      </c>
      <c r="I218" s="20">
        <v>0</v>
      </c>
      <c r="J218" s="22">
        <f t="shared" si="6"/>
        <v>0</v>
      </c>
      <c r="K218" s="20">
        <f t="shared" si="7"/>
        <v>1</v>
      </c>
    </row>
    <row r="219" spans="1:11" x14ac:dyDescent="0.35">
      <c r="A219" s="20" t="s">
        <v>118</v>
      </c>
      <c r="B219" s="20" t="s">
        <v>163</v>
      </c>
      <c r="C219" s="20" t="s">
        <v>133</v>
      </c>
      <c r="D219" s="20" t="s">
        <v>441</v>
      </c>
      <c r="E219" s="20" t="s">
        <v>189</v>
      </c>
      <c r="F219" s="20" t="s">
        <v>502</v>
      </c>
      <c r="G219" s="20" t="s">
        <v>191</v>
      </c>
      <c r="H219" s="20">
        <v>1</v>
      </c>
      <c r="I219" s="20">
        <v>0</v>
      </c>
      <c r="J219" s="22">
        <f t="shared" si="6"/>
        <v>0</v>
      </c>
      <c r="K219" s="20">
        <f t="shared" si="7"/>
        <v>1</v>
      </c>
    </row>
    <row r="220" spans="1:11" x14ac:dyDescent="0.35">
      <c r="A220" s="20" t="s">
        <v>118</v>
      </c>
      <c r="B220" s="20" t="s">
        <v>163</v>
      </c>
      <c r="C220" s="20" t="s">
        <v>133</v>
      </c>
      <c r="D220" s="20" t="s">
        <v>503</v>
      </c>
      <c r="E220" s="20" t="s">
        <v>189</v>
      </c>
      <c r="F220" s="20" t="s">
        <v>504</v>
      </c>
      <c r="G220" s="20" t="s">
        <v>191</v>
      </c>
      <c r="H220" s="20">
        <v>1</v>
      </c>
      <c r="I220" s="20">
        <v>0</v>
      </c>
      <c r="J220" s="22">
        <f t="shared" si="6"/>
        <v>0</v>
      </c>
      <c r="K220" s="20">
        <f t="shared" si="7"/>
        <v>1</v>
      </c>
    </row>
    <row r="221" spans="1:11" x14ac:dyDescent="0.35">
      <c r="A221" s="20" t="s">
        <v>118</v>
      </c>
      <c r="B221" s="20" t="s">
        <v>163</v>
      </c>
      <c r="C221" s="20" t="s">
        <v>133</v>
      </c>
      <c r="D221" s="20" t="s">
        <v>503</v>
      </c>
      <c r="E221" s="20" t="s">
        <v>189</v>
      </c>
      <c r="F221" s="20" t="s">
        <v>505</v>
      </c>
      <c r="G221" s="20" t="s">
        <v>191</v>
      </c>
      <c r="H221" s="20">
        <v>1</v>
      </c>
      <c r="I221" s="20">
        <v>0</v>
      </c>
      <c r="J221" s="22">
        <f t="shared" si="6"/>
        <v>0</v>
      </c>
      <c r="K221" s="20">
        <f t="shared" si="7"/>
        <v>1</v>
      </c>
    </row>
    <row r="222" spans="1:11" x14ac:dyDescent="0.35">
      <c r="A222" s="20" t="s">
        <v>118</v>
      </c>
      <c r="B222" s="20" t="s">
        <v>163</v>
      </c>
      <c r="C222" s="20" t="s">
        <v>133</v>
      </c>
      <c r="D222" s="20" t="s">
        <v>444</v>
      </c>
      <c r="E222" s="20" t="s">
        <v>189</v>
      </c>
      <c r="F222" s="20" t="s">
        <v>506</v>
      </c>
      <c r="G222" s="20" t="s">
        <v>191</v>
      </c>
      <c r="H222" s="20">
        <v>1</v>
      </c>
      <c r="I222" s="20">
        <v>0</v>
      </c>
      <c r="J222" s="22">
        <f t="shared" si="6"/>
        <v>0</v>
      </c>
      <c r="K222" s="20">
        <f t="shared" si="7"/>
        <v>1</v>
      </c>
    </row>
    <row r="223" spans="1:11" x14ac:dyDescent="0.35">
      <c r="A223" s="20" t="s">
        <v>118</v>
      </c>
      <c r="B223" s="20" t="s">
        <v>163</v>
      </c>
      <c r="C223" s="20" t="s">
        <v>133</v>
      </c>
      <c r="D223" s="20" t="s">
        <v>444</v>
      </c>
      <c r="E223" s="20" t="s">
        <v>189</v>
      </c>
      <c r="F223" s="20" t="s">
        <v>507</v>
      </c>
      <c r="G223" s="20" t="s">
        <v>191</v>
      </c>
      <c r="H223" s="20">
        <v>1</v>
      </c>
      <c r="I223" s="20">
        <v>0</v>
      </c>
      <c r="J223" s="22">
        <f t="shared" si="6"/>
        <v>0</v>
      </c>
      <c r="K223" s="20">
        <f t="shared" si="7"/>
        <v>1</v>
      </c>
    </row>
    <row r="224" spans="1:11" x14ac:dyDescent="0.35">
      <c r="A224" s="20" t="s">
        <v>118</v>
      </c>
      <c r="B224" s="20" t="s">
        <v>163</v>
      </c>
      <c r="C224" s="20" t="s">
        <v>133</v>
      </c>
      <c r="D224" s="20" t="s">
        <v>444</v>
      </c>
      <c r="E224" s="20" t="s">
        <v>189</v>
      </c>
      <c r="F224" s="20" t="s">
        <v>508</v>
      </c>
      <c r="G224" s="20" t="s">
        <v>191</v>
      </c>
      <c r="H224" s="20">
        <v>1</v>
      </c>
      <c r="I224" s="20">
        <v>0</v>
      </c>
      <c r="J224" s="22">
        <f t="shared" si="6"/>
        <v>0</v>
      </c>
      <c r="K224" s="20">
        <f t="shared" si="7"/>
        <v>1</v>
      </c>
    </row>
    <row r="225" spans="1:11" x14ac:dyDescent="0.35">
      <c r="A225" s="20" t="s">
        <v>118</v>
      </c>
      <c r="B225" s="20" t="s">
        <v>163</v>
      </c>
      <c r="C225" s="20" t="s">
        <v>133</v>
      </c>
      <c r="D225" s="20" t="s">
        <v>444</v>
      </c>
      <c r="E225" s="20" t="s">
        <v>189</v>
      </c>
      <c r="F225" s="20" t="s">
        <v>509</v>
      </c>
      <c r="G225" s="20" t="s">
        <v>191</v>
      </c>
      <c r="H225" s="20">
        <v>1</v>
      </c>
      <c r="I225" s="20">
        <v>0</v>
      </c>
      <c r="J225" s="22">
        <f t="shared" si="6"/>
        <v>0</v>
      </c>
      <c r="K225" s="20">
        <f t="shared" si="7"/>
        <v>1</v>
      </c>
    </row>
    <row r="226" spans="1:11" x14ac:dyDescent="0.35">
      <c r="A226" s="20" t="s">
        <v>118</v>
      </c>
      <c r="B226" s="20" t="s">
        <v>163</v>
      </c>
      <c r="C226" s="20" t="s">
        <v>133</v>
      </c>
      <c r="D226" s="20" t="s">
        <v>444</v>
      </c>
      <c r="E226" s="20" t="s">
        <v>189</v>
      </c>
      <c r="F226" s="20" t="s">
        <v>510</v>
      </c>
      <c r="G226" s="20" t="s">
        <v>191</v>
      </c>
      <c r="H226" s="20">
        <v>1</v>
      </c>
      <c r="I226" s="20">
        <v>0</v>
      </c>
      <c r="J226" s="22">
        <f t="shared" si="6"/>
        <v>0</v>
      </c>
      <c r="K226" s="20">
        <f t="shared" si="7"/>
        <v>1</v>
      </c>
    </row>
    <row r="227" spans="1:11" x14ac:dyDescent="0.35">
      <c r="A227" s="20" t="s">
        <v>118</v>
      </c>
      <c r="B227" s="20" t="s">
        <v>163</v>
      </c>
      <c r="C227" s="20" t="s">
        <v>133</v>
      </c>
      <c r="D227" s="20" t="s">
        <v>444</v>
      </c>
      <c r="E227" s="20" t="s">
        <v>189</v>
      </c>
      <c r="F227" s="20" t="s">
        <v>511</v>
      </c>
      <c r="G227" s="20" t="s">
        <v>191</v>
      </c>
      <c r="H227" s="20">
        <v>1</v>
      </c>
      <c r="I227" s="20">
        <v>0</v>
      </c>
      <c r="J227" s="22">
        <f t="shared" si="6"/>
        <v>0</v>
      </c>
      <c r="K227" s="20">
        <f t="shared" si="7"/>
        <v>1</v>
      </c>
    </row>
    <row r="228" spans="1:11" x14ac:dyDescent="0.35">
      <c r="A228" s="20" t="s">
        <v>118</v>
      </c>
      <c r="B228" s="20" t="s">
        <v>163</v>
      </c>
      <c r="C228" s="20" t="s">
        <v>133</v>
      </c>
      <c r="D228" s="20" t="s">
        <v>444</v>
      </c>
      <c r="E228" s="20" t="s">
        <v>189</v>
      </c>
      <c r="F228" s="20" t="s">
        <v>512</v>
      </c>
      <c r="G228" s="20" t="s">
        <v>191</v>
      </c>
      <c r="H228" s="20">
        <v>1</v>
      </c>
      <c r="I228" s="20">
        <v>0</v>
      </c>
      <c r="J228" s="22">
        <f t="shared" ref="J228:J291" si="8">IFERROR(I228/H228,0)</f>
        <v>0</v>
      </c>
      <c r="K228" s="20">
        <f t="shared" ref="K228:K291" si="9">H228-I228</f>
        <v>1</v>
      </c>
    </row>
    <row r="229" spans="1:11" x14ac:dyDescent="0.35">
      <c r="A229" s="20" t="s">
        <v>118</v>
      </c>
      <c r="B229" s="20" t="s">
        <v>163</v>
      </c>
      <c r="C229" s="20" t="s">
        <v>133</v>
      </c>
      <c r="D229" s="20" t="s">
        <v>444</v>
      </c>
      <c r="E229" s="20" t="s">
        <v>189</v>
      </c>
      <c r="F229" s="20" t="s">
        <v>513</v>
      </c>
      <c r="G229" s="20" t="s">
        <v>191</v>
      </c>
      <c r="H229" s="20">
        <v>1</v>
      </c>
      <c r="I229" s="20">
        <v>0</v>
      </c>
      <c r="J229" s="22">
        <f t="shared" si="8"/>
        <v>0</v>
      </c>
      <c r="K229" s="20">
        <f t="shared" si="9"/>
        <v>1</v>
      </c>
    </row>
    <row r="230" spans="1:11" x14ac:dyDescent="0.35">
      <c r="A230" s="20" t="s">
        <v>118</v>
      </c>
      <c r="B230" s="20" t="s">
        <v>163</v>
      </c>
      <c r="C230" s="20" t="s">
        <v>133</v>
      </c>
      <c r="D230" s="20" t="s">
        <v>444</v>
      </c>
      <c r="E230" s="20" t="s">
        <v>189</v>
      </c>
      <c r="F230" s="20" t="s">
        <v>514</v>
      </c>
      <c r="G230" s="20" t="s">
        <v>191</v>
      </c>
      <c r="H230" s="20">
        <v>1</v>
      </c>
      <c r="I230" s="20">
        <v>0</v>
      </c>
      <c r="J230" s="22">
        <f t="shared" si="8"/>
        <v>0</v>
      </c>
      <c r="K230" s="20">
        <f t="shared" si="9"/>
        <v>1</v>
      </c>
    </row>
    <row r="231" spans="1:11" x14ac:dyDescent="0.35">
      <c r="A231" s="20" t="s">
        <v>118</v>
      </c>
      <c r="B231" s="20" t="s">
        <v>163</v>
      </c>
      <c r="C231" s="20" t="s">
        <v>133</v>
      </c>
      <c r="D231" s="20" t="s">
        <v>444</v>
      </c>
      <c r="E231" s="20" t="s">
        <v>189</v>
      </c>
      <c r="F231" s="20" t="s">
        <v>515</v>
      </c>
      <c r="G231" s="20" t="s">
        <v>191</v>
      </c>
      <c r="H231" s="20">
        <v>1</v>
      </c>
      <c r="I231" s="20">
        <v>0</v>
      </c>
      <c r="J231" s="22">
        <f t="shared" si="8"/>
        <v>0</v>
      </c>
      <c r="K231" s="20">
        <f t="shared" si="9"/>
        <v>1</v>
      </c>
    </row>
    <row r="232" spans="1:11" x14ac:dyDescent="0.35">
      <c r="A232" s="20" t="s">
        <v>118</v>
      </c>
      <c r="B232" s="20" t="s">
        <v>163</v>
      </c>
      <c r="C232" s="20" t="s">
        <v>133</v>
      </c>
      <c r="D232" s="20" t="s">
        <v>444</v>
      </c>
      <c r="E232" s="20" t="s">
        <v>189</v>
      </c>
      <c r="F232" s="20" t="s">
        <v>516</v>
      </c>
      <c r="G232" s="20" t="s">
        <v>191</v>
      </c>
      <c r="H232" s="20">
        <v>1</v>
      </c>
      <c r="I232" s="20">
        <v>0</v>
      </c>
      <c r="J232" s="22">
        <f t="shared" si="8"/>
        <v>0</v>
      </c>
      <c r="K232" s="20">
        <f t="shared" si="9"/>
        <v>1</v>
      </c>
    </row>
    <row r="233" spans="1:11" x14ac:dyDescent="0.35">
      <c r="A233" s="20" t="s">
        <v>118</v>
      </c>
      <c r="B233" s="20" t="s">
        <v>163</v>
      </c>
      <c r="C233" s="20" t="s">
        <v>133</v>
      </c>
      <c r="D233" s="20" t="s">
        <v>444</v>
      </c>
      <c r="E233" s="20" t="s">
        <v>189</v>
      </c>
      <c r="F233" s="20" t="s">
        <v>517</v>
      </c>
      <c r="G233" s="20" t="s">
        <v>191</v>
      </c>
      <c r="H233" s="20">
        <v>1</v>
      </c>
      <c r="I233" s="20">
        <v>0</v>
      </c>
      <c r="J233" s="22">
        <f t="shared" si="8"/>
        <v>0</v>
      </c>
      <c r="K233" s="20">
        <f t="shared" si="9"/>
        <v>1</v>
      </c>
    </row>
    <row r="234" spans="1:11" x14ac:dyDescent="0.35">
      <c r="A234" s="20" t="s">
        <v>118</v>
      </c>
      <c r="B234" s="20" t="s">
        <v>163</v>
      </c>
      <c r="C234" s="20" t="s">
        <v>133</v>
      </c>
      <c r="D234" s="20" t="s">
        <v>444</v>
      </c>
      <c r="E234" s="20" t="s">
        <v>189</v>
      </c>
      <c r="F234" s="20" t="s">
        <v>518</v>
      </c>
      <c r="G234" s="20" t="s">
        <v>191</v>
      </c>
      <c r="H234" s="20">
        <v>1</v>
      </c>
      <c r="I234" s="20">
        <v>0</v>
      </c>
      <c r="J234" s="22">
        <f t="shared" si="8"/>
        <v>0</v>
      </c>
      <c r="K234" s="20">
        <f t="shared" si="9"/>
        <v>1</v>
      </c>
    </row>
    <row r="235" spans="1:11" x14ac:dyDescent="0.35">
      <c r="A235" s="20" t="s">
        <v>118</v>
      </c>
      <c r="B235" s="20" t="s">
        <v>163</v>
      </c>
      <c r="C235" s="20" t="s">
        <v>133</v>
      </c>
      <c r="D235" s="20" t="s">
        <v>444</v>
      </c>
      <c r="E235" s="20" t="s">
        <v>189</v>
      </c>
      <c r="F235" s="20" t="s">
        <v>519</v>
      </c>
      <c r="G235" s="20" t="s">
        <v>191</v>
      </c>
      <c r="H235" s="20">
        <v>1</v>
      </c>
      <c r="I235" s="20">
        <v>0</v>
      </c>
      <c r="J235" s="22">
        <f t="shared" si="8"/>
        <v>0</v>
      </c>
      <c r="K235" s="20">
        <f t="shared" si="9"/>
        <v>1</v>
      </c>
    </row>
    <row r="236" spans="1:11" x14ac:dyDescent="0.35">
      <c r="A236" s="20" t="s">
        <v>118</v>
      </c>
      <c r="B236" s="20" t="s">
        <v>163</v>
      </c>
      <c r="C236" s="20" t="s">
        <v>133</v>
      </c>
      <c r="D236" s="20" t="s">
        <v>444</v>
      </c>
      <c r="E236" s="20" t="s">
        <v>189</v>
      </c>
      <c r="F236" s="20" t="s">
        <v>520</v>
      </c>
      <c r="G236" s="20" t="s">
        <v>191</v>
      </c>
      <c r="H236" s="20">
        <v>1</v>
      </c>
      <c r="I236" s="20">
        <v>0</v>
      </c>
      <c r="J236" s="22">
        <f t="shared" si="8"/>
        <v>0</v>
      </c>
      <c r="K236" s="20">
        <f t="shared" si="9"/>
        <v>1</v>
      </c>
    </row>
    <row r="237" spans="1:11" x14ac:dyDescent="0.35">
      <c r="A237" s="20" t="s">
        <v>118</v>
      </c>
      <c r="B237" s="20" t="s">
        <v>163</v>
      </c>
      <c r="C237" s="20" t="s">
        <v>133</v>
      </c>
      <c r="D237" s="20" t="s">
        <v>444</v>
      </c>
      <c r="E237" s="20" t="s">
        <v>189</v>
      </c>
      <c r="F237" s="20" t="s">
        <v>521</v>
      </c>
      <c r="G237" s="20" t="s">
        <v>191</v>
      </c>
      <c r="H237" s="20">
        <v>1</v>
      </c>
      <c r="I237" s="20">
        <v>0</v>
      </c>
      <c r="J237" s="22">
        <f t="shared" si="8"/>
        <v>0</v>
      </c>
      <c r="K237" s="20">
        <f t="shared" si="9"/>
        <v>1</v>
      </c>
    </row>
    <row r="238" spans="1:11" x14ac:dyDescent="0.35">
      <c r="A238" s="20" t="s">
        <v>118</v>
      </c>
      <c r="B238" s="20" t="s">
        <v>163</v>
      </c>
      <c r="C238" s="20" t="s">
        <v>133</v>
      </c>
      <c r="D238" s="20" t="s">
        <v>444</v>
      </c>
      <c r="E238" s="20" t="s">
        <v>189</v>
      </c>
      <c r="F238" s="20" t="s">
        <v>522</v>
      </c>
      <c r="G238" s="20" t="s">
        <v>191</v>
      </c>
      <c r="H238" s="20">
        <v>1</v>
      </c>
      <c r="I238" s="20">
        <v>0</v>
      </c>
      <c r="J238" s="22">
        <f t="shared" si="8"/>
        <v>0</v>
      </c>
      <c r="K238" s="20">
        <f t="shared" si="9"/>
        <v>1</v>
      </c>
    </row>
    <row r="239" spans="1:11" x14ac:dyDescent="0.35">
      <c r="A239" s="20" t="s">
        <v>118</v>
      </c>
      <c r="B239" s="20" t="s">
        <v>163</v>
      </c>
      <c r="C239" s="20" t="s">
        <v>133</v>
      </c>
      <c r="D239" s="20" t="s">
        <v>444</v>
      </c>
      <c r="E239" s="20" t="s">
        <v>189</v>
      </c>
      <c r="F239" s="20" t="s">
        <v>523</v>
      </c>
      <c r="G239" s="20" t="s">
        <v>191</v>
      </c>
      <c r="H239" s="20">
        <v>1</v>
      </c>
      <c r="I239" s="20">
        <v>0</v>
      </c>
      <c r="J239" s="22">
        <f t="shared" si="8"/>
        <v>0</v>
      </c>
      <c r="K239" s="20">
        <f t="shared" si="9"/>
        <v>1</v>
      </c>
    </row>
    <row r="240" spans="1:11" x14ac:dyDescent="0.35">
      <c r="A240" s="20" t="s">
        <v>118</v>
      </c>
      <c r="B240" s="20" t="s">
        <v>163</v>
      </c>
      <c r="C240" s="20" t="s">
        <v>133</v>
      </c>
      <c r="D240" s="20" t="s">
        <v>444</v>
      </c>
      <c r="E240" s="20" t="s">
        <v>189</v>
      </c>
      <c r="F240" s="20" t="s">
        <v>524</v>
      </c>
      <c r="G240" s="20" t="s">
        <v>191</v>
      </c>
      <c r="H240" s="20">
        <v>1</v>
      </c>
      <c r="I240" s="20">
        <v>0</v>
      </c>
      <c r="J240" s="22">
        <f t="shared" si="8"/>
        <v>0</v>
      </c>
      <c r="K240" s="20">
        <f t="shared" si="9"/>
        <v>1</v>
      </c>
    </row>
    <row r="241" spans="1:11" x14ac:dyDescent="0.35">
      <c r="A241" s="20" t="s">
        <v>118</v>
      </c>
      <c r="B241" s="20" t="s">
        <v>163</v>
      </c>
      <c r="C241" s="20" t="s">
        <v>133</v>
      </c>
      <c r="D241" s="20" t="s">
        <v>444</v>
      </c>
      <c r="E241" s="20" t="s">
        <v>189</v>
      </c>
      <c r="F241" s="20" t="s">
        <v>525</v>
      </c>
      <c r="G241" s="20" t="s">
        <v>191</v>
      </c>
      <c r="H241" s="20">
        <v>1</v>
      </c>
      <c r="I241" s="20">
        <v>0</v>
      </c>
      <c r="J241" s="22">
        <f t="shared" si="8"/>
        <v>0</v>
      </c>
      <c r="K241" s="20">
        <f t="shared" si="9"/>
        <v>1</v>
      </c>
    </row>
    <row r="242" spans="1:11" x14ac:dyDescent="0.35">
      <c r="A242" s="20" t="s">
        <v>118</v>
      </c>
      <c r="B242" s="20" t="s">
        <v>163</v>
      </c>
      <c r="C242" s="20" t="s">
        <v>133</v>
      </c>
      <c r="D242" s="20" t="s">
        <v>444</v>
      </c>
      <c r="E242" s="20" t="s">
        <v>189</v>
      </c>
      <c r="F242" s="20" t="s">
        <v>526</v>
      </c>
      <c r="G242" s="20" t="s">
        <v>191</v>
      </c>
      <c r="H242" s="20">
        <v>1</v>
      </c>
      <c r="I242" s="20">
        <v>0</v>
      </c>
      <c r="J242" s="22">
        <f t="shared" si="8"/>
        <v>0</v>
      </c>
      <c r="K242" s="20">
        <f t="shared" si="9"/>
        <v>1</v>
      </c>
    </row>
    <row r="243" spans="1:11" x14ac:dyDescent="0.35">
      <c r="A243" s="20" t="s">
        <v>118</v>
      </c>
      <c r="B243" s="20" t="s">
        <v>163</v>
      </c>
      <c r="C243" s="20" t="s">
        <v>133</v>
      </c>
      <c r="D243" s="20" t="s">
        <v>444</v>
      </c>
      <c r="E243" s="20" t="s">
        <v>189</v>
      </c>
      <c r="F243" s="20" t="s">
        <v>527</v>
      </c>
      <c r="G243" s="20" t="s">
        <v>191</v>
      </c>
      <c r="H243" s="20">
        <v>1</v>
      </c>
      <c r="I243" s="20">
        <v>0</v>
      </c>
      <c r="J243" s="22">
        <f t="shared" si="8"/>
        <v>0</v>
      </c>
      <c r="K243" s="20">
        <f t="shared" si="9"/>
        <v>1</v>
      </c>
    </row>
    <row r="244" spans="1:11" x14ac:dyDescent="0.35">
      <c r="A244" s="20" t="s">
        <v>118</v>
      </c>
      <c r="B244" s="20" t="s">
        <v>163</v>
      </c>
      <c r="C244" s="20" t="s">
        <v>133</v>
      </c>
      <c r="D244" s="20" t="s">
        <v>444</v>
      </c>
      <c r="E244" s="20" t="s">
        <v>189</v>
      </c>
      <c r="F244" s="20" t="s">
        <v>528</v>
      </c>
      <c r="G244" s="20" t="s">
        <v>191</v>
      </c>
      <c r="H244" s="20">
        <v>1</v>
      </c>
      <c r="I244" s="20">
        <v>0</v>
      </c>
      <c r="J244" s="22">
        <f t="shared" si="8"/>
        <v>0</v>
      </c>
      <c r="K244" s="20">
        <f t="shared" si="9"/>
        <v>1</v>
      </c>
    </row>
    <row r="245" spans="1:11" x14ac:dyDescent="0.35">
      <c r="A245" s="20" t="s">
        <v>118</v>
      </c>
      <c r="B245" s="20" t="s">
        <v>163</v>
      </c>
      <c r="C245" s="20" t="s">
        <v>133</v>
      </c>
      <c r="D245" s="20" t="s">
        <v>444</v>
      </c>
      <c r="E245" s="20" t="s">
        <v>189</v>
      </c>
      <c r="F245" s="20" t="s">
        <v>529</v>
      </c>
      <c r="G245" s="20" t="s">
        <v>191</v>
      </c>
      <c r="H245" s="20">
        <v>1</v>
      </c>
      <c r="I245" s="20">
        <v>0</v>
      </c>
      <c r="J245" s="22">
        <f t="shared" si="8"/>
        <v>0</v>
      </c>
      <c r="K245" s="20">
        <f t="shared" si="9"/>
        <v>1</v>
      </c>
    </row>
    <row r="246" spans="1:11" x14ac:dyDescent="0.35">
      <c r="A246" s="20" t="s">
        <v>118</v>
      </c>
      <c r="B246" s="20" t="s">
        <v>163</v>
      </c>
      <c r="C246" s="20" t="s">
        <v>133</v>
      </c>
      <c r="D246" s="20" t="s">
        <v>444</v>
      </c>
      <c r="E246" s="20" t="s">
        <v>189</v>
      </c>
      <c r="F246" s="20" t="s">
        <v>530</v>
      </c>
      <c r="G246" s="20" t="s">
        <v>191</v>
      </c>
      <c r="H246" s="20">
        <v>1</v>
      </c>
      <c r="I246" s="20">
        <v>0</v>
      </c>
      <c r="J246" s="22">
        <f t="shared" si="8"/>
        <v>0</v>
      </c>
      <c r="K246" s="20">
        <f t="shared" si="9"/>
        <v>1</v>
      </c>
    </row>
    <row r="247" spans="1:11" x14ac:dyDescent="0.35">
      <c r="A247" s="20" t="s">
        <v>118</v>
      </c>
      <c r="B247" s="20" t="s">
        <v>163</v>
      </c>
      <c r="C247" s="20" t="s">
        <v>133</v>
      </c>
      <c r="D247" s="20" t="s">
        <v>444</v>
      </c>
      <c r="E247" s="20" t="s">
        <v>189</v>
      </c>
      <c r="F247" s="20" t="s">
        <v>531</v>
      </c>
      <c r="G247" s="20" t="s">
        <v>191</v>
      </c>
      <c r="H247" s="20">
        <v>1</v>
      </c>
      <c r="I247" s="20">
        <v>0</v>
      </c>
      <c r="J247" s="22">
        <f t="shared" si="8"/>
        <v>0</v>
      </c>
      <c r="K247" s="20">
        <f t="shared" si="9"/>
        <v>1</v>
      </c>
    </row>
    <row r="248" spans="1:11" x14ac:dyDescent="0.35">
      <c r="A248" s="20" t="s">
        <v>118</v>
      </c>
      <c r="B248" s="20" t="s">
        <v>163</v>
      </c>
      <c r="C248" s="20" t="s">
        <v>133</v>
      </c>
      <c r="D248" s="20" t="s">
        <v>444</v>
      </c>
      <c r="E248" s="20" t="s">
        <v>189</v>
      </c>
      <c r="F248" s="20" t="s">
        <v>532</v>
      </c>
      <c r="G248" s="20" t="s">
        <v>191</v>
      </c>
      <c r="H248" s="20">
        <v>1</v>
      </c>
      <c r="I248" s="20">
        <v>0</v>
      </c>
      <c r="J248" s="22">
        <f t="shared" si="8"/>
        <v>0</v>
      </c>
      <c r="K248" s="20">
        <f t="shared" si="9"/>
        <v>1</v>
      </c>
    </row>
    <row r="249" spans="1:11" x14ac:dyDescent="0.35">
      <c r="A249" s="20" t="s">
        <v>118</v>
      </c>
      <c r="B249" s="20" t="s">
        <v>163</v>
      </c>
      <c r="C249" s="20" t="s">
        <v>133</v>
      </c>
      <c r="D249" s="20" t="s">
        <v>444</v>
      </c>
      <c r="E249" s="20" t="s">
        <v>189</v>
      </c>
      <c r="F249" s="20" t="s">
        <v>533</v>
      </c>
      <c r="G249" s="20" t="s">
        <v>191</v>
      </c>
      <c r="H249" s="20">
        <v>1</v>
      </c>
      <c r="I249" s="20">
        <v>0</v>
      </c>
      <c r="J249" s="22">
        <f t="shared" si="8"/>
        <v>0</v>
      </c>
      <c r="K249" s="20">
        <f t="shared" si="9"/>
        <v>1</v>
      </c>
    </row>
    <row r="250" spans="1:11" x14ac:dyDescent="0.35">
      <c r="A250" s="20" t="s">
        <v>118</v>
      </c>
      <c r="B250" s="20" t="s">
        <v>163</v>
      </c>
      <c r="C250" s="20" t="s">
        <v>133</v>
      </c>
      <c r="D250" s="20" t="s">
        <v>444</v>
      </c>
      <c r="E250" s="20" t="s">
        <v>189</v>
      </c>
      <c r="F250" s="20" t="s">
        <v>534</v>
      </c>
      <c r="G250" s="20" t="s">
        <v>191</v>
      </c>
      <c r="H250" s="20">
        <v>1</v>
      </c>
      <c r="I250" s="20">
        <v>0</v>
      </c>
      <c r="J250" s="22">
        <f t="shared" si="8"/>
        <v>0</v>
      </c>
      <c r="K250" s="20">
        <f t="shared" si="9"/>
        <v>1</v>
      </c>
    </row>
    <row r="251" spans="1:11" x14ac:dyDescent="0.35">
      <c r="A251" s="20" t="s">
        <v>118</v>
      </c>
      <c r="B251" s="20" t="s">
        <v>163</v>
      </c>
      <c r="C251" s="20" t="s">
        <v>133</v>
      </c>
      <c r="D251" s="20" t="s">
        <v>444</v>
      </c>
      <c r="E251" s="20" t="s">
        <v>189</v>
      </c>
      <c r="F251" s="20" t="s">
        <v>535</v>
      </c>
      <c r="G251" s="20" t="s">
        <v>191</v>
      </c>
      <c r="H251" s="20">
        <v>1</v>
      </c>
      <c r="I251" s="20">
        <v>0</v>
      </c>
      <c r="J251" s="22">
        <f t="shared" si="8"/>
        <v>0</v>
      </c>
      <c r="K251" s="20">
        <f t="shared" si="9"/>
        <v>1</v>
      </c>
    </row>
    <row r="252" spans="1:11" x14ac:dyDescent="0.35">
      <c r="A252" s="20" t="s">
        <v>118</v>
      </c>
      <c r="B252" s="20" t="s">
        <v>163</v>
      </c>
      <c r="C252" s="20" t="s">
        <v>133</v>
      </c>
      <c r="D252" s="20" t="s">
        <v>444</v>
      </c>
      <c r="E252" s="20" t="s">
        <v>189</v>
      </c>
      <c r="F252" s="20" t="s">
        <v>536</v>
      </c>
      <c r="G252" s="20" t="s">
        <v>191</v>
      </c>
      <c r="H252" s="20">
        <v>1</v>
      </c>
      <c r="I252" s="20">
        <v>0</v>
      </c>
      <c r="J252" s="22">
        <f t="shared" si="8"/>
        <v>0</v>
      </c>
      <c r="K252" s="20">
        <f t="shared" si="9"/>
        <v>1</v>
      </c>
    </row>
    <row r="253" spans="1:11" x14ac:dyDescent="0.35">
      <c r="A253" s="20" t="s">
        <v>118</v>
      </c>
      <c r="B253" s="20" t="s">
        <v>163</v>
      </c>
      <c r="C253" s="20" t="s">
        <v>133</v>
      </c>
      <c r="D253" s="20" t="s">
        <v>444</v>
      </c>
      <c r="E253" s="20" t="s">
        <v>189</v>
      </c>
      <c r="F253" s="20" t="s">
        <v>537</v>
      </c>
      <c r="G253" s="20" t="s">
        <v>191</v>
      </c>
      <c r="H253" s="20">
        <v>1</v>
      </c>
      <c r="I253" s="20">
        <v>0</v>
      </c>
      <c r="J253" s="22">
        <f t="shared" si="8"/>
        <v>0</v>
      </c>
      <c r="K253" s="20">
        <f t="shared" si="9"/>
        <v>1</v>
      </c>
    </row>
    <row r="254" spans="1:11" x14ac:dyDescent="0.35">
      <c r="A254" s="20" t="s">
        <v>118</v>
      </c>
      <c r="B254" s="20" t="s">
        <v>163</v>
      </c>
      <c r="C254" s="20" t="s">
        <v>133</v>
      </c>
      <c r="D254" s="20" t="s">
        <v>444</v>
      </c>
      <c r="E254" s="20" t="s">
        <v>189</v>
      </c>
      <c r="F254" s="20" t="s">
        <v>538</v>
      </c>
      <c r="G254" s="20" t="s">
        <v>191</v>
      </c>
      <c r="H254" s="20">
        <v>1</v>
      </c>
      <c r="I254" s="20">
        <v>0</v>
      </c>
      <c r="J254" s="22">
        <f t="shared" si="8"/>
        <v>0</v>
      </c>
      <c r="K254" s="20">
        <f t="shared" si="9"/>
        <v>1</v>
      </c>
    </row>
    <row r="255" spans="1:11" x14ac:dyDescent="0.35">
      <c r="A255" s="20" t="s">
        <v>118</v>
      </c>
      <c r="B255" s="20" t="s">
        <v>163</v>
      </c>
      <c r="C255" s="20" t="s">
        <v>133</v>
      </c>
      <c r="D255" s="20" t="s">
        <v>444</v>
      </c>
      <c r="E255" s="20" t="s">
        <v>189</v>
      </c>
      <c r="F255" s="20" t="s">
        <v>539</v>
      </c>
      <c r="G255" s="20" t="s">
        <v>191</v>
      </c>
      <c r="H255" s="20">
        <v>1</v>
      </c>
      <c r="I255" s="20">
        <v>0</v>
      </c>
      <c r="J255" s="22">
        <f t="shared" si="8"/>
        <v>0</v>
      </c>
      <c r="K255" s="20">
        <f t="shared" si="9"/>
        <v>1</v>
      </c>
    </row>
    <row r="256" spans="1:11" x14ac:dyDescent="0.35">
      <c r="A256" s="20" t="s">
        <v>118</v>
      </c>
      <c r="B256" s="20" t="s">
        <v>163</v>
      </c>
      <c r="C256" s="20" t="s">
        <v>133</v>
      </c>
      <c r="D256" s="20" t="s">
        <v>444</v>
      </c>
      <c r="E256" s="20" t="s">
        <v>189</v>
      </c>
      <c r="F256" s="20" t="s">
        <v>540</v>
      </c>
      <c r="G256" s="20" t="s">
        <v>191</v>
      </c>
      <c r="H256" s="20">
        <v>1</v>
      </c>
      <c r="I256" s="20">
        <v>0</v>
      </c>
      <c r="J256" s="22">
        <f t="shared" si="8"/>
        <v>0</v>
      </c>
      <c r="K256" s="20">
        <f t="shared" si="9"/>
        <v>1</v>
      </c>
    </row>
    <row r="257" spans="1:11" x14ac:dyDescent="0.35">
      <c r="A257" s="20" t="s">
        <v>118</v>
      </c>
      <c r="B257" s="20" t="s">
        <v>163</v>
      </c>
      <c r="C257" s="20" t="s">
        <v>133</v>
      </c>
      <c r="D257" s="20" t="s">
        <v>444</v>
      </c>
      <c r="E257" s="20" t="s">
        <v>189</v>
      </c>
      <c r="F257" s="20" t="s">
        <v>541</v>
      </c>
      <c r="G257" s="20" t="s">
        <v>191</v>
      </c>
      <c r="H257" s="20">
        <v>1</v>
      </c>
      <c r="I257" s="20">
        <v>0</v>
      </c>
      <c r="J257" s="22">
        <f t="shared" si="8"/>
        <v>0</v>
      </c>
      <c r="K257" s="20">
        <f t="shared" si="9"/>
        <v>1</v>
      </c>
    </row>
    <row r="258" spans="1:11" x14ac:dyDescent="0.35">
      <c r="A258" s="20" t="s">
        <v>118</v>
      </c>
      <c r="B258" s="20" t="s">
        <v>163</v>
      </c>
      <c r="C258" s="20" t="s">
        <v>133</v>
      </c>
      <c r="D258" s="20" t="s">
        <v>444</v>
      </c>
      <c r="E258" s="20" t="s">
        <v>189</v>
      </c>
      <c r="F258" s="20" t="s">
        <v>542</v>
      </c>
      <c r="G258" s="20" t="s">
        <v>191</v>
      </c>
      <c r="H258" s="20">
        <v>1</v>
      </c>
      <c r="I258" s="20">
        <v>0</v>
      </c>
      <c r="J258" s="22">
        <f t="shared" si="8"/>
        <v>0</v>
      </c>
      <c r="K258" s="20">
        <f t="shared" si="9"/>
        <v>1</v>
      </c>
    </row>
    <row r="259" spans="1:11" x14ac:dyDescent="0.35">
      <c r="A259" s="20" t="s">
        <v>118</v>
      </c>
      <c r="B259" s="20" t="s">
        <v>163</v>
      </c>
      <c r="C259" s="20" t="s">
        <v>133</v>
      </c>
      <c r="D259" s="20" t="s">
        <v>492</v>
      </c>
      <c r="E259" s="20" t="s">
        <v>189</v>
      </c>
      <c r="F259" s="20" t="s">
        <v>543</v>
      </c>
      <c r="G259" s="20" t="s">
        <v>191</v>
      </c>
      <c r="H259" s="20">
        <v>1</v>
      </c>
      <c r="I259" s="20">
        <v>0</v>
      </c>
      <c r="J259" s="22">
        <f t="shared" si="8"/>
        <v>0</v>
      </c>
      <c r="K259" s="20">
        <f t="shared" si="9"/>
        <v>1</v>
      </c>
    </row>
    <row r="260" spans="1:11" x14ac:dyDescent="0.35">
      <c r="A260" s="20" t="s">
        <v>118</v>
      </c>
      <c r="B260" s="20" t="s">
        <v>163</v>
      </c>
      <c r="C260" s="20" t="s">
        <v>133</v>
      </c>
      <c r="D260" s="20" t="s">
        <v>544</v>
      </c>
      <c r="E260" s="20" t="s">
        <v>189</v>
      </c>
      <c r="F260" s="20" t="s">
        <v>545</v>
      </c>
      <c r="G260" s="20" t="s">
        <v>191</v>
      </c>
      <c r="H260" s="20">
        <v>1</v>
      </c>
      <c r="I260" s="20">
        <v>0</v>
      </c>
      <c r="J260" s="22">
        <f t="shared" si="8"/>
        <v>0</v>
      </c>
      <c r="K260" s="20">
        <f t="shared" si="9"/>
        <v>1</v>
      </c>
    </row>
    <row r="261" spans="1:11" x14ac:dyDescent="0.35">
      <c r="A261" s="20" t="s">
        <v>118</v>
      </c>
      <c r="B261" s="20" t="s">
        <v>163</v>
      </c>
      <c r="C261" s="20" t="s">
        <v>133</v>
      </c>
      <c r="D261" s="20" t="s">
        <v>544</v>
      </c>
      <c r="E261" s="20" t="s">
        <v>189</v>
      </c>
      <c r="F261" s="20" t="s">
        <v>546</v>
      </c>
      <c r="G261" s="20" t="s">
        <v>191</v>
      </c>
      <c r="H261" s="20">
        <v>1</v>
      </c>
      <c r="I261" s="20">
        <v>0</v>
      </c>
      <c r="J261" s="22">
        <f t="shared" si="8"/>
        <v>0</v>
      </c>
      <c r="K261" s="20">
        <f t="shared" si="9"/>
        <v>1</v>
      </c>
    </row>
    <row r="262" spans="1:11" x14ac:dyDescent="0.35">
      <c r="A262" s="20" t="s">
        <v>118</v>
      </c>
      <c r="B262" s="20" t="s">
        <v>163</v>
      </c>
      <c r="C262" s="20" t="s">
        <v>133</v>
      </c>
      <c r="D262" s="20" t="s">
        <v>544</v>
      </c>
      <c r="E262" s="20" t="s">
        <v>189</v>
      </c>
      <c r="F262" s="20" t="s">
        <v>547</v>
      </c>
      <c r="G262" s="20" t="s">
        <v>191</v>
      </c>
      <c r="H262" s="20">
        <v>1</v>
      </c>
      <c r="I262" s="20">
        <v>0</v>
      </c>
      <c r="J262" s="22">
        <f t="shared" si="8"/>
        <v>0</v>
      </c>
      <c r="K262" s="20">
        <f t="shared" si="9"/>
        <v>1</v>
      </c>
    </row>
    <row r="263" spans="1:11" x14ac:dyDescent="0.35">
      <c r="A263" s="20" t="s">
        <v>118</v>
      </c>
      <c r="B263" s="20" t="s">
        <v>163</v>
      </c>
      <c r="C263" s="20" t="s">
        <v>133</v>
      </c>
      <c r="D263" s="20" t="s">
        <v>544</v>
      </c>
      <c r="E263" s="20" t="s">
        <v>189</v>
      </c>
      <c r="F263" s="20" t="s">
        <v>548</v>
      </c>
      <c r="G263" s="20" t="s">
        <v>191</v>
      </c>
      <c r="H263" s="20">
        <v>1</v>
      </c>
      <c r="I263" s="20">
        <v>0</v>
      </c>
      <c r="J263" s="22">
        <f t="shared" si="8"/>
        <v>0</v>
      </c>
      <c r="K263" s="20">
        <f t="shared" si="9"/>
        <v>1</v>
      </c>
    </row>
    <row r="264" spans="1:11" x14ac:dyDescent="0.35">
      <c r="A264" s="20" t="s">
        <v>118</v>
      </c>
      <c r="B264" s="20" t="s">
        <v>163</v>
      </c>
      <c r="C264" s="20" t="s">
        <v>133</v>
      </c>
      <c r="D264" s="20" t="s">
        <v>544</v>
      </c>
      <c r="E264" s="20" t="s">
        <v>189</v>
      </c>
      <c r="F264" s="20" t="s">
        <v>549</v>
      </c>
      <c r="G264" s="20" t="s">
        <v>191</v>
      </c>
      <c r="H264" s="20">
        <v>1</v>
      </c>
      <c r="I264" s="20">
        <v>0</v>
      </c>
      <c r="J264" s="22">
        <f t="shared" si="8"/>
        <v>0</v>
      </c>
      <c r="K264" s="20">
        <f t="shared" si="9"/>
        <v>1</v>
      </c>
    </row>
    <row r="265" spans="1:11" x14ac:dyDescent="0.35">
      <c r="A265" s="20" t="s">
        <v>118</v>
      </c>
      <c r="B265" s="20" t="s">
        <v>163</v>
      </c>
      <c r="C265" s="20" t="s">
        <v>133</v>
      </c>
      <c r="D265" s="20" t="s">
        <v>544</v>
      </c>
      <c r="E265" s="20" t="s">
        <v>189</v>
      </c>
      <c r="F265" s="20" t="s">
        <v>550</v>
      </c>
      <c r="G265" s="20" t="s">
        <v>191</v>
      </c>
      <c r="H265" s="20">
        <v>1</v>
      </c>
      <c r="I265" s="20">
        <v>0</v>
      </c>
      <c r="J265" s="22">
        <f t="shared" si="8"/>
        <v>0</v>
      </c>
      <c r="K265" s="20">
        <f t="shared" si="9"/>
        <v>1</v>
      </c>
    </row>
    <row r="266" spans="1:11" x14ac:dyDescent="0.35">
      <c r="A266" s="20" t="s">
        <v>118</v>
      </c>
      <c r="B266" s="20" t="s">
        <v>163</v>
      </c>
      <c r="C266" s="20" t="s">
        <v>133</v>
      </c>
      <c r="D266" s="20" t="s">
        <v>544</v>
      </c>
      <c r="E266" s="20" t="s">
        <v>189</v>
      </c>
      <c r="F266" s="20" t="s">
        <v>551</v>
      </c>
      <c r="G266" s="20" t="s">
        <v>191</v>
      </c>
      <c r="H266" s="20">
        <v>1</v>
      </c>
      <c r="I266" s="20">
        <v>0</v>
      </c>
      <c r="J266" s="22">
        <f t="shared" si="8"/>
        <v>0</v>
      </c>
      <c r="K266" s="20">
        <f t="shared" si="9"/>
        <v>1</v>
      </c>
    </row>
    <row r="267" spans="1:11" x14ac:dyDescent="0.35">
      <c r="A267" s="20" t="s">
        <v>118</v>
      </c>
      <c r="B267" s="20" t="s">
        <v>163</v>
      </c>
      <c r="C267" s="20" t="s">
        <v>133</v>
      </c>
      <c r="D267" s="20" t="s">
        <v>544</v>
      </c>
      <c r="E267" s="20" t="s">
        <v>189</v>
      </c>
      <c r="F267" s="20" t="s">
        <v>552</v>
      </c>
      <c r="G267" s="20" t="s">
        <v>191</v>
      </c>
      <c r="H267" s="20">
        <v>1</v>
      </c>
      <c r="I267" s="20">
        <v>0</v>
      </c>
      <c r="J267" s="22">
        <f t="shared" si="8"/>
        <v>0</v>
      </c>
      <c r="K267" s="20">
        <f t="shared" si="9"/>
        <v>1</v>
      </c>
    </row>
    <row r="268" spans="1:11" x14ac:dyDescent="0.35">
      <c r="A268" s="20" t="s">
        <v>118</v>
      </c>
      <c r="B268" s="20" t="s">
        <v>163</v>
      </c>
      <c r="C268" s="20" t="s">
        <v>133</v>
      </c>
      <c r="D268" s="20" t="s">
        <v>544</v>
      </c>
      <c r="E268" s="20" t="s">
        <v>189</v>
      </c>
      <c r="F268" s="20" t="s">
        <v>553</v>
      </c>
      <c r="G268" s="20" t="s">
        <v>191</v>
      </c>
      <c r="H268" s="20">
        <v>1</v>
      </c>
      <c r="I268" s="20">
        <v>0</v>
      </c>
      <c r="J268" s="22">
        <f t="shared" si="8"/>
        <v>0</v>
      </c>
      <c r="K268" s="20">
        <f t="shared" si="9"/>
        <v>1</v>
      </c>
    </row>
    <row r="269" spans="1:11" x14ac:dyDescent="0.35">
      <c r="A269" s="20" t="s">
        <v>118</v>
      </c>
      <c r="B269" s="20" t="s">
        <v>163</v>
      </c>
      <c r="C269" s="20" t="s">
        <v>133</v>
      </c>
      <c r="D269" s="20" t="s">
        <v>544</v>
      </c>
      <c r="E269" s="20" t="s">
        <v>189</v>
      </c>
      <c r="F269" s="20" t="s">
        <v>554</v>
      </c>
      <c r="G269" s="20" t="s">
        <v>191</v>
      </c>
      <c r="H269" s="20">
        <v>1</v>
      </c>
      <c r="I269" s="20">
        <v>0</v>
      </c>
      <c r="J269" s="22">
        <f t="shared" si="8"/>
        <v>0</v>
      </c>
      <c r="K269" s="20">
        <f t="shared" si="9"/>
        <v>1</v>
      </c>
    </row>
    <row r="270" spans="1:11" x14ac:dyDescent="0.35">
      <c r="A270" s="20" t="s">
        <v>118</v>
      </c>
      <c r="B270" s="20" t="s">
        <v>163</v>
      </c>
      <c r="C270" s="20" t="s">
        <v>133</v>
      </c>
      <c r="D270" s="20" t="s">
        <v>544</v>
      </c>
      <c r="E270" s="20" t="s">
        <v>189</v>
      </c>
      <c r="F270" s="20" t="s">
        <v>555</v>
      </c>
      <c r="G270" s="20" t="s">
        <v>191</v>
      </c>
      <c r="H270" s="20">
        <v>1</v>
      </c>
      <c r="I270" s="20">
        <v>0</v>
      </c>
      <c r="J270" s="22">
        <f t="shared" si="8"/>
        <v>0</v>
      </c>
      <c r="K270" s="20">
        <f t="shared" si="9"/>
        <v>1</v>
      </c>
    </row>
    <row r="271" spans="1:11" x14ac:dyDescent="0.35">
      <c r="A271" s="20" t="s">
        <v>118</v>
      </c>
      <c r="B271" s="20" t="s">
        <v>163</v>
      </c>
      <c r="C271" s="20" t="s">
        <v>133</v>
      </c>
      <c r="D271" s="20" t="s">
        <v>544</v>
      </c>
      <c r="E271" s="20" t="s">
        <v>189</v>
      </c>
      <c r="F271" s="20" t="s">
        <v>556</v>
      </c>
      <c r="G271" s="20" t="s">
        <v>191</v>
      </c>
      <c r="H271" s="20">
        <v>1</v>
      </c>
      <c r="I271" s="20">
        <v>0</v>
      </c>
      <c r="J271" s="22">
        <f t="shared" si="8"/>
        <v>0</v>
      </c>
      <c r="K271" s="20">
        <f t="shared" si="9"/>
        <v>1</v>
      </c>
    </row>
    <row r="272" spans="1:11" x14ac:dyDescent="0.35">
      <c r="A272" s="20" t="s">
        <v>118</v>
      </c>
      <c r="B272" s="20" t="s">
        <v>163</v>
      </c>
      <c r="C272" s="20" t="s">
        <v>133</v>
      </c>
      <c r="D272" s="20" t="s">
        <v>557</v>
      </c>
      <c r="E272" s="20" t="s">
        <v>189</v>
      </c>
      <c r="F272" s="20" t="s">
        <v>558</v>
      </c>
      <c r="G272" s="20" t="s">
        <v>191</v>
      </c>
      <c r="H272" s="20">
        <v>1</v>
      </c>
      <c r="I272" s="20">
        <v>0</v>
      </c>
      <c r="J272" s="22">
        <f t="shared" si="8"/>
        <v>0</v>
      </c>
      <c r="K272" s="20">
        <f t="shared" si="9"/>
        <v>1</v>
      </c>
    </row>
    <row r="273" spans="1:11" x14ac:dyDescent="0.35">
      <c r="A273" s="20" t="s">
        <v>118</v>
      </c>
      <c r="B273" s="20" t="s">
        <v>163</v>
      </c>
      <c r="C273" s="20" t="s">
        <v>133</v>
      </c>
      <c r="D273" s="20" t="s">
        <v>494</v>
      </c>
      <c r="E273" s="20" t="s">
        <v>189</v>
      </c>
      <c r="F273" s="20" t="s">
        <v>559</v>
      </c>
      <c r="G273" s="20" t="s">
        <v>191</v>
      </c>
      <c r="H273" s="20">
        <v>1</v>
      </c>
      <c r="I273" s="20">
        <v>0</v>
      </c>
      <c r="J273" s="22">
        <f t="shared" si="8"/>
        <v>0</v>
      </c>
      <c r="K273" s="20">
        <f t="shared" si="9"/>
        <v>1</v>
      </c>
    </row>
    <row r="274" spans="1:11" x14ac:dyDescent="0.35">
      <c r="A274" s="20" t="s">
        <v>118</v>
      </c>
      <c r="B274" s="20" t="s">
        <v>163</v>
      </c>
      <c r="C274" s="20" t="s">
        <v>133</v>
      </c>
      <c r="D274" s="20" t="s">
        <v>560</v>
      </c>
      <c r="E274" s="20" t="s">
        <v>189</v>
      </c>
      <c r="F274" s="20" t="s">
        <v>561</v>
      </c>
      <c r="G274" s="20" t="s">
        <v>191</v>
      </c>
      <c r="H274" s="20">
        <v>1</v>
      </c>
      <c r="I274" s="20">
        <v>0</v>
      </c>
      <c r="J274" s="22">
        <f t="shared" si="8"/>
        <v>0</v>
      </c>
      <c r="K274" s="20">
        <f t="shared" si="9"/>
        <v>1</v>
      </c>
    </row>
    <row r="275" spans="1:11" x14ac:dyDescent="0.35">
      <c r="A275" s="20" t="s">
        <v>118</v>
      </c>
      <c r="B275" s="20" t="s">
        <v>163</v>
      </c>
      <c r="C275" s="20" t="s">
        <v>133</v>
      </c>
      <c r="D275" s="20" t="s">
        <v>560</v>
      </c>
      <c r="E275" s="20" t="s">
        <v>189</v>
      </c>
      <c r="F275" s="20" t="s">
        <v>562</v>
      </c>
      <c r="G275" s="20" t="s">
        <v>191</v>
      </c>
      <c r="H275" s="20">
        <v>1</v>
      </c>
      <c r="I275" s="20">
        <v>0</v>
      </c>
      <c r="J275" s="22">
        <f t="shared" si="8"/>
        <v>0</v>
      </c>
      <c r="K275" s="20">
        <f t="shared" si="9"/>
        <v>1</v>
      </c>
    </row>
    <row r="276" spans="1:11" x14ac:dyDescent="0.35">
      <c r="A276" s="20" t="s">
        <v>118</v>
      </c>
      <c r="B276" s="20" t="s">
        <v>163</v>
      </c>
      <c r="C276" s="20" t="s">
        <v>133</v>
      </c>
      <c r="D276" s="20" t="s">
        <v>560</v>
      </c>
      <c r="E276" s="20" t="s">
        <v>189</v>
      </c>
      <c r="F276" s="20" t="s">
        <v>563</v>
      </c>
      <c r="G276" s="20" t="s">
        <v>191</v>
      </c>
      <c r="H276" s="20">
        <v>1</v>
      </c>
      <c r="I276" s="20">
        <v>0</v>
      </c>
      <c r="J276" s="22">
        <f t="shared" si="8"/>
        <v>0</v>
      </c>
      <c r="K276" s="20">
        <f t="shared" si="9"/>
        <v>1</v>
      </c>
    </row>
    <row r="277" spans="1:11" x14ac:dyDescent="0.35">
      <c r="A277" s="20" t="s">
        <v>118</v>
      </c>
      <c r="B277" s="20" t="s">
        <v>163</v>
      </c>
      <c r="C277" s="20" t="s">
        <v>133</v>
      </c>
      <c r="D277" s="20" t="s">
        <v>560</v>
      </c>
      <c r="E277" s="20" t="s">
        <v>189</v>
      </c>
      <c r="F277" s="20" t="s">
        <v>564</v>
      </c>
      <c r="G277" s="20" t="s">
        <v>191</v>
      </c>
      <c r="H277" s="20">
        <v>1</v>
      </c>
      <c r="I277" s="20">
        <v>0</v>
      </c>
      <c r="J277" s="22">
        <f t="shared" si="8"/>
        <v>0</v>
      </c>
      <c r="K277" s="20">
        <f t="shared" si="9"/>
        <v>1</v>
      </c>
    </row>
    <row r="278" spans="1:11" x14ac:dyDescent="0.35">
      <c r="A278" s="20" t="s">
        <v>118</v>
      </c>
      <c r="B278" s="20" t="s">
        <v>163</v>
      </c>
      <c r="C278" s="20" t="s">
        <v>133</v>
      </c>
      <c r="D278" s="20" t="s">
        <v>560</v>
      </c>
      <c r="E278" s="20" t="s">
        <v>189</v>
      </c>
      <c r="F278" s="20" t="s">
        <v>565</v>
      </c>
      <c r="G278" s="20" t="s">
        <v>191</v>
      </c>
      <c r="H278" s="20">
        <v>1</v>
      </c>
      <c r="I278" s="20">
        <v>0</v>
      </c>
      <c r="J278" s="22">
        <f t="shared" si="8"/>
        <v>0</v>
      </c>
      <c r="K278" s="20">
        <f t="shared" si="9"/>
        <v>1</v>
      </c>
    </row>
    <row r="279" spans="1:11" x14ac:dyDescent="0.35">
      <c r="A279" s="20" t="s">
        <v>118</v>
      </c>
      <c r="B279" s="20" t="s">
        <v>163</v>
      </c>
      <c r="C279" s="20" t="s">
        <v>133</v>
      </c>
      <c r="D279" s="20" t="s">
        <v>560</v>
      </c>
      <c r="E279" s="20" t="s">
        <v>189</v>
      </c>
      <c r="F279" s="20" t="s">
        <v>566</v>
      </c>
      <c r="G279" s="20" t="s">
        <v>191</v>
      </c>
      <c r="H279" s="20">
        <v>1</v>
      </c>
      <c r="I279" s="20">
        <v>0</v>
      </c>
      <c r="J279" s="22">
        <f t="shared" si="8"/>
        <v>0</v>
      </c>
      <c r="K279" s="20">
        <f t="shared" si="9"/>
        <v>1</v>
      </c>
    </row>
    <row r="280" spans="1:11" x14ac:dyDescent="0.35">
      <c r="A280" s="20" t="s">
        <v>118</v>
      </c>
      <c r="B280" s="20" t="s">
        <v>163</v>
      </c>
      <c r="C280" s="20" t="s">
        <v>133</v>
      </c>
      <c r="D280" s="20" t="s">
        <v>560</v>
      </c>
      <c r="E280" s="20" t="s">
        <v>189</v>
      </c>
      <c r="F280" s="20" t="s">
        <v>567</v>
      </c>
      <c r="G280" s="20" t="s">
        <v>191</v>
      </c>
      <c r="H280" s="20">
        <v>1</v>
      </c>
      <c r="I280" s="20">
        <v>0</v>
      </c>
      <c r="J280" s="22">
        <f t="shared" si="8"/>
        <v>0</v>
      </c>
      <c r="K280" s="20">
        <f t="shared" si="9"/>
        <v>1</v>
      </c>
    </row>
    <row r="281" spans="1:11" x14ac:dyDescent="0.35">
      <c r="A281" s="20" t="s">
        <v>118</v>
      </c>
      <c r="B281" s="20" t="s">
        <v>163</v>
      </c>
      <c r="C281" s="20" t="s">
        <v>133</v>
      </c>
      <c r="D281" s="20" t="s">
        <v>560</v>
      </c>
      <c r="E281" s="20" t="s">
        <v>189</v>
      </c>
      <c r="F281" s="20" t="s">
        <v>568</v>
      </c>
      <c r="G281" s="20" t="s">
        <v>191</v>
      </c>
      <c r="H281" s="20">
        <v>1</v>
      </c>
      <c r="I281" s="20">
        <v>0</v>
      </c>
      <c r="J281" s="22">
        <f t="shared" si="8"/>
        <v>0</v>
      </c>
      <c r="K281" s="20">
        <f t="shared" si="9"/>
        <v>1</v>
      </c>
    </row>
    <row r="282" spans="1:11" x14ac:dyDescent="0.35">
      <c r="A282" s="20" t="s">
        <v>118</v>
      </c>
      <c r="B282" s="20" t="s">
        <v>163</v>
      </c>
      <c r="C282" s="20" t="s">
        <v>133</v>
      </c>
      <c r="D282" s="20" t="s">
        <v>569</v>
      </c>
      <c r="E282" s="20" t="s">
        <v>189</v>
      </c>
      <c r="F282" s="20" t="s">
        <v>570</v>
      </c>
      <c r="G282" s="20" t="s">
        <v>191</v>
      </c>
      <c r="H282" s="20">
        <v>1</v>
      </c>
      <c r="I282" s="20">
        <v>0</v>
      </c>
      <c r="J282" s="22">
        <f t="shared" si="8"/>
        <v>0</v>
      </c>
      <c r="K282" s="20">
        <f t="shared" si="9"/>
        <v>1</v>
      </c>
    </row>
    <row r="283" spans="1:11" x14ac:dyDescent="0.35">
      <c r="A283" s="20" t="s">
        <v>118</v>
      </c>
      <c r="B283" s="20" t="s">
        <v>163</v>
      </c>
      <c r="C283" s="20" t="s">
        <v>133</v>
      </c>
      <c r="D283" s="20" t="s">
        <v>560</v>
      </c>
      <c r="E283" s="20" t="s">
        <v>189</v>
      </c>
      <c r="F283" s="20" t="s">
        <v>571</v>
      </c>
      <c r="G283" s="20" t="s">
        <v>191</v>
      </c>
      <c r="H283" s="20">
        <v>1</v>
      </c>
      <c r="I283" s="20">
        <v>0</v>
      </c>
      <c r="J283" s="22">
        <f t="shared" si="8"/>
        <v>0</v>
      </c>
      <c r="K283" s="20">
        <f t="shared" si="9"/>
        <v>1</v>
      </c>
    </row>
    <row r="284" spans="1:11" x14ac:dyDescent="0.35">
      <c r="A284" s="20" t="s">
        <v>118</v>
      </c>
      <c r="B284" s="20" t="s">
        <v>163</v>
      </c>
      <c r="C284" s="20" t="s">
        <v>133</v>
      </c>
      <c r="D284" s="20" t="s">
        <v>560</v>
      </c>
      <c r="E284" s="20" t="s">
        <v>189</v>
      </c>
      <c r="F284" s="20" t="s">
        <v>572</v>
      </c>
      <c r="G284" s="20" t="s">
        <v>191</v>
      </c>
      <c r="H284" s="20">
        <v>1</v>
      </c>
      <c r="I284" s="20">
        <v>0</v>
      </c>
      <c r="J284" s="22">
        <f t="shared" si="8"/>
        <v>0</v>
      </c>
      <c r="K284" s="20">
        <f t="shared" si="9"/>
        <v>1</v>
      </c>
    </row>
    <row r="285" spans="1:11" x14ac:dyDescent="0.35">
      <c r="A285" s="20" t="s">
        <v>118</v>
      </c>
      <c r="B285" s="20" t="s">
        <v>163</v>
      </c>
      <c r="C285" s="20" t="s">
        <v>133</v>
      </c>
      <c r="D285" s="20" t="s">
        <v>560</v>
      </c>
      <c r="E285" s="20" t="s">
        <v>189</v>
      </c>
      <c r="F285" s="20" t="s">
        <v>573</v>
      </c>
      <c r="G285" s="20" t="s">
        <v>191</v>
      </c>
      <c r="H285" s="20">
        <v>1</v>
      </c>
      <c r="I285" s="20">
        <v>0</v>
      </c>
      <c r="J285" s="22">
        <f t="shared" si="8"/>
        <v>0</v>
      </c>
      <c r="K285" s="20">
        <f t="shared" si="9"/>
        <v>1</v>
      </c>
    </row>
    <row r="286" spans="1:11" x14ac:dyDescent="0.35">
      <c r="A286" s="20" t="s">
        <v>118</v>
      </c>
      <c r="B286" s="20" t="s">
        <v>163</v>
      </c>
      <c r="C286" s="20" t="s">
        <v>133</v>
      </c>
      <c r="D286" s="20" t="s">
        <v>560</v>
      </c>
      <c r="E286" s="20" t="s">
        <v>189</v>
      </c>
      <c r="F286" s="20" t="s">
        <v>574</v>
      </c>
      <c r="G286" s="20" t="s">
        <v>191</v>
      </c>
      <c r="H286" s="20">
        <v>1</v>
      </c>
      <c r="I286" s="20">
        <v>0</v>
      </c>
      <c r="J286" s="22">
        <f t="shared" si="8"/>
        <v>0</v>
      </c>
      <c r="K286" s="20">
        <f t="shared" si="9"/>
        <v>1</v>
      </c>
    </row>
    <row r="287" spans="1:11" x14ac:dyDescent="0.35">
      <c r="A287" s="20" t="s">
        <v>118</v>
      </c>
      <c r="B287" s="20" t="s">
        <v>163</v>
      </c>
      <c r="C287" s="20" t="s">
        <v>133</v>
      </c>
      <c r="D287" s="20" t="s">
        <v>560</v>
      </c>
      <c r="E287" s="20" t="s">
        <v>189</v>
      </c>
      <c r="F287" s="20" t="s">
        <v>575</v>
      </c>
      <c r="G287" s="20" t="s">
        <v>191</v>
      </c>
      <c r="H287" s="20">
        <v>1</v>
      </c>
      <c r="I287" s="20">
        <v>0</v>
      </c>
      <c r="J287" s="22">
        <f t="shared" si="8"/>
        <v>0</v>
      </c>
      <c r="K287" s="20">
        <f t="shared" si="9"/>
        <v>1</v>
      </c>
    </row>
    <row r="288" spans="1:11" x14ac:dyDescent="0.35">
      <c r="A288" s="20" t="s">
        <v>118</v>
      </c>
      <c r="B288" s="20" t="s">
        <v>163</v>
      </c>
      <c r="C288" s="20" t="s">
        <v>133</v>
      </c>
      <c r="D288" s="20" t="s">
        <v>560</v>
      </c>
      <c r="E288" s="20" t="s">
        <v>189</v>
      </c>
      <c r="F288" s="20" t="s">
        <v>576</v>
      </c>
      <c r="G288" s="20" t="s">
        <v>191</v>
      </c>
      <c r="H288" s="20">
        <v>1</v>
      </c>
      <c r="I288" s="20">
        <v>0</v>
      </c>
      <c r="J288" s="22">
        <f t="shared" si="8"/>
        <v>0</v>
      </c>
      <c r="K288" s="20">
        <f t="shared" si="9"/>
        <v>1</v>
      </c>
    </row>
    <row r="289" spans="1:11" x14ac:dyDescent="0.35">
      <c r="A289" s="20" t="s">
        <v>118</v>
      </c>
      <c r="B289" s="20" t="s">
        <v>163</v>
      </c>
      <c r="C289" s="20" t="s">
        <v>133</v>
      </c>
      <c r="D289" s="20" t="s">
        <v>560</v>
      </c>
      <c r="E289" s="20" t="s">
        <v>189</v>
      </c>
      <c r="F289" s="20" t="s">
        <v>577</v>
      </c>
      <c r="G289" s="20" t="s">
        <v>191</v>
      </c>
      <c r="H289" s="20">
        <v>1</v>
      </c>
      <c r="I289" s="20">
        <v>0</v>
      </c>
      <c r="J289" s="22">
        <f t="shared" si="8"/>
        <v>0</v>
      </c>
      <c r="K289" s="20">
        <f t="shared" si="9"/>
        <v>1</v>
      </c>
    </row>
    <row r="290" spans="1:11" x14ac:dyDescent="0.35">
      <c r="A290" s="20" t="s">
        <v>118</v>
      </c>
      <c r="B290" s="20" t="s">
        <v>163</v>
      </c>
      <c r="C290" s="20" t="s">
        <v>133</v>
      </c>
      <c r="D290" s="20" t="s">
        <v>560</v>
      </c>
      <c r="E290" s="20" t="s">
        <v>189</v>
      </c>
      <c r="F290" s="20" t="s">
        <v>578</v>
      </c>
      <c r="G290" s="20" t="s">
        <v>191</v>
      </c>
      <c r="H290" s="20">
        <v>1</v>
      </c>
      <c r="I290" s="20">
        <v>0</v>
      </c>
      <c r="J290" s="22">
        <f t="shared" si="8"/>
        <v>0</v>
      </c>
      <c r="K290" s="20">
        <f t="shared" si="9"/>
        <v>1</v>
      </c>
    </row>
    <row r="291" spans="1:11" x14ac:dyDescent="0.35">
      <c r="A291" s="20" t="s">
        <v>118</v>
      </c>
      <c r="B291" s="20" t="s">
        <v>163</v>
      </c>
      <c r="C291" s="20" t="s">
        <v>133</v>
      </c>
      <c r="D291" s="20" t="s">
        <v>560</v>
      </c>
      <c r="E291" s="20" t="s">
        <v>189</v>
      </c>
      <c r="F291" s="20" t="s">
        <v>579</v>
      </c>
      <c r="G291" s="20" t="s">
        <v>191</v>
      </c>
      <c r="H291" s="20">
        <v>1</v>
      </c>
      <c r="I291" s="20">
        <v>0</v>
      </c>
      <c r="J291" s="22">
        <f t="shared" si="8"/>
        <v>0</v>
      </c>
      <c r="K291" s="20">
        <f t="shared" si="9"/>
        <v>1</v>
      </c>
    </row>
    <row r="292" spans="1:11" x14ac:dyDescent="0.35">
      <c r="A292" s="20" t="s">
        <v>118</v>
      </c>
      <c r="B292" s="20" t="s">
        <v>163</v>
      </c>
      <c r="C292" s="20" t="s">
        <v>133</v>
      </c>
      <c r="D292" s="20" t="s">
        <v>560</v>
      </c>
      <c r="E292" s="20" t="s">
        <v>189</v>
      </c>
      <c r="F292" s="20" t="s">
        <v>580</v>
      </c>
      <c r="G292" s="20" t="s">
        <v>191</v>
      </c>
      <c r="H292" s="20">
        <v>1</v>
      </c>
      <c r="I292" s="20">
        <v>0</v>
      </c>
      <c r="J292" s="22">
        <f t="shared" ref="J292:J355" si="10">IFERROR(I292/H292,0)</f>
        <v>0</v>
      </c>
      <c r="K292" s="20">
        <f t="shared" ref="K292:K355" si="11">H292-I292</f>
        <v>1</v>
      </c>
    </row>
    <row r="293" spans="1:11" x14ac:dyDescent="0.35">
      <c r="A293" s="20" t="s">
        <v>118</v>
      </c>
      <c r="B293" s="20" t="s">
        <v>163</v>
      </c>
      <c r="C293" s="20" t="s">
        <v>133</v>
      </c>
      <c r="D293" s="20" t="s">
        <v>560</v>
      </c>
      <c r="E293" s="20" t="s">
        <v>189</v>
      </c>
      <c r="F293" s="20" t="s">
        <v>581</v>
      </c>
      <c r="G293" s="20" t="s">
        <v>191</v>
      </c>
      <c r="H293" s="20">
        <v>1</v>
      </c>
      <c r="I293" s="20">
        <v>0</v>
      </c>
      <c r="J293" s="22">
        <f t="shared" si="10"/>
        <v>0</v>
      </c>
      <c r="K293" s="20">
        <f t="shared" si="11"/>
        <v>1</v>
      </c>
    </row>
    <row r="294" spans="1:11" x14ac:dyDescent="0.35">
      <c r="A294" s="20" t="s">
        <v>118</v>
      </c>
      <c r="B294" s="20" t="s">
        <v>163</v>
      </c>
      <c r="C294" s="20" t="s">
        <v>133</v>
      </c>
      <c r="D294" s="20" t="s">
        <v>560</v>
      </c>
      <c r="E294" s="20" t="s">
        <v>189</v>
      </c>
      <c r="F294" s="20" t="s">
        <v>582</v>
      </c>
      <c r="G294" s="20" t="s">
        <v>191</v>
      </c>
      <c r="H294" s="20">
        <v>1</v>
      </c>
      <c r="I294" s="20">
        <v>0</v>
      </c>
      <c r="J294" s="22">
        <f t="shared" si="10"/>
        <v>0</v>
      </c>
      <c r="K294" s="20">
        <f t="shared" si="11"/>
        <v>1</v>
      </c>
    </row>
    <row r="295" spans="1:11" x14ac:dyDescent="0.35">
      <c r="A295" s="20" t="s">
        <v>118</v>
      </c>
      <c r="B295" s="20" t="s">
        <v>163</v>
      </c>
      <c r="C295" s="20" t="s">
        <v>133</v>
      </c>
      <c r="D295" s="20" t="s">
        <v>560</v>
      </c>
      <c r="E295" s="20" t="s">
        <v>189</v>
      </c>
      <c r="F295" s="20" t="s">
        <v>583</v>
      </c>
      <c r="G295" s="20" t="s">
        <v>191</v>
      </c>
      <c r="H295" s="20">
        <v>1</v>
      </c>
      <c r="I295" s="20">
        <v>0</v>
      </c>
      <c r="J295" s="22">
        <f t="shared" si="10"/>
        <v>0</v>
      </c>
      <c r="K295" s="20">
        <f t="shared" si="11"/>
        <v>1</v>
      </c>
    </row>
    <row r="296" spans="1:11" x14ac:dyDescent="0.35">
      <c r="A296" s="20" t="s">
        <v>118</v>
      </c>
      <c r="B296" s="20" t="s">
        <v>163</v>
      </c>
      <c r="C296" s="20" t="s">
        <v>133</v>
      </c>
      <c r="D296" s="20" t="s">
        <v>560</v>
      </c>
      <c r="E296" s="20" t="s">
        <v>189</v>
      </c>
      <c r="F296" s="20" t="s">
        <v>584</v>
      </c>
      <c r="G296" s="20" t="s">
        <v>191</v>
      </c>
      <c r="H296" s="20">
        <v>1</v>
      </c>
      <c r="I296" s="20">
        <v>0</v>
      </c>
      <c r="J296" s="22">
        <f t="shared" si="10"/>
        <v>0</v>
      </c>
      <c r="K296" s="20">
        <f t="shared" si="11"/>
        <v>1</v>
      </c>
    </row>
    <row r="297" spans="1:11" x14ac:dyDescent="0.35">
      <c r="A297" s="20" t="s">
        <v>118</v>
      </c>
      <c r="B297" s="20" t="s">
        <v>163</v>
      </c>
      <c r="C297" s="20" t="s">
        <v>133</v>
      </c>
      <c r="D297" s="20" t="s">
        <v>569</v>
      </c>
      <c r="E297" s="20" t="s">
        <v>189</v>
      </c>
      <c r="F297" s="20" t="s">
        <v>585</v>
      </c>
      <c r="G297" s="20" t="s">
        <v>191</v>
      </c>
      <c r="H297" s="20">
        <v>1</v>
      </c>
      <c r="I297" s="20">
        <v>0</v>
      </c>
      <c r="J297" s="22">
        <f t="shared" si="10"/>
        <v>0</v>
      </c>
      <c r="K297" s="20">
        <f t="shared" si="11"/>
        <v>1</v>
      </c>
    </row>
    <row r="298" spans="1:11" x14ac:dyDescent="0.35">
      <c r="A298" s="20" t="s">
        <v>118</v>
      </c>
      <c r="B298" s="20" t="s">
        <v>163</v>
      </c>
      <c r="C298" s="20" t="s">
        <v>133</v>
      </c>
      <c r="D298" s="20" t="s">
        <v>586</v>
      </c>
      <c r="E298" s="20" t="s">
        <v>189</v>
      </c>
      <c r="F298" s="20" t="s">
        <v>587</v>
      </c>
      <c r="G298" s="20" t="s">
        <v>191</v>
      </c>
      <c r="H298" s="20">
        <v>1</v>
      </c>
      <c r="I298" s="20">
        <v>0</v>
      </c>
      <c r="J298" s="22">
        <f t="shared" si="10"/>
        <v>0</v>
      </c>
      <c r="K298" s="20">
        <f t="shared" si="11"/>
        <v>1</v>
      </c>
    </row>
    <row r="299" spans="1:11" x14ac:dyDescent="0.35">
      <c r="A299" s="20" t="s">
        <v>118</v>
      </c>
      <c r="B299" s="20" t="s">
        <v>163</v>
      </c>
      <c r="C299" s="20" t="s">
        <v>133</v>
      </c>
      <c r="D299" s="20" t="s">
        <v>586</v>
      </c>
      <c r="E299" s="20" t="s">
        <v>189</v>
      </c>
      <c r="F299" s="20" t="s">
        <v>588</v>
      </c>
      <c r="G299" s="20" t="s">
        <v>191</v>
      </c>
      <c r="H299" s="20">
        <v>1</v>
      </c>
      <c r="I299" s="20">
        <v>0</v>
      </c>
      <c r="J299" s="22">
        <f t="shared" si="10"/>
        <v>0</v>
      </c>
      <c r="K299" s="20">
        <f t="shared" si="11"/>
        <v>1</v>
      </c>
    </row>
    <row r="300" spans="1:11" x14ac:dyDescent="0.35">
      <c r="A300" s="20" t="s">
        <v>118</v>
      </c>
      <c r="B300" s="20" t="s">
        <v>163</v>
      </c>
      <c r="C300" s="20" t="s">
        <v>133</v>
      </c>
      <c r="D300" s="20" t="s">
        <v>589</v>
      </c>
      <c r="E300" s="20" t="s">
        <v>189</v>
      </c>
      <c r="F300" s="20" t="s">
        <v>590</v>
      </c>
      <c r="G300" s="20" t="s">
        <v>191</v>
      </c>
      <c r="H300" s="20">
        <v>1</v>
      </c>
      <c r="I300" s="20">
        <v>0</v>
      </c>
      <c r="J300" s="22">
        <f t="shared" si="10"/>
        <v>0</v>
      </c>
      <c r="K300" s="20">
        <f t="shared" si="11"/>
        <v>1</v>
      </c>
    </row>
    <row r="301" spans="1:11" x14ac:dyDescent="0.35">
      <c r="A301" s="20" t="s">
        <v>118</v>
      </c>
      <c r="B301" s="20" t="s">
        <v>163</v>
      </c>
      <c r="C301" s="20" t="s">
        <v>133</v>
      </c>
      <c r="D301" s="20" t="s">
        <v>591</v>
      </c>
      <c r="E301" s="20" t="s">
        <v>189</v>
      </c>
      <c r="F301" s="20" t="s">
        <v>592</v>
      </c>
      <c r="G301" s="20" t="s">
        <v>191</v>
      </c>
      <c r="H301" s="20">
        <v>1</v>
      </c>
      <c r="I301" s="20">
        <v>0</v>
      </c>
      <c r="J301" s="22">
        <f t="shared" si="10"/>
        <v>0</v>
      </c>
      <c r="K301" s="20">
        <f t="shared" si="11"/>
        <v>1</v>
      </c>
    </row>
    <row r="302" spans="1:11" x14ac:dyDescent="0.35">
      <c r="A302" s="20" t="s">
        <v>118</v>
      </c>
      <c r="B302" s="20" t="s">
        <v>163</v>
      </c>
      <c r="C302" s="20" t="s">
        <v>133</v>
      </c>
      <c r="D302" s="20" t="s">
        <v>593</v>
      </c>
      <c r="E302" s="20" t="s">
        <v>189</v>
      </c>
      <c r="F302" s="20" t="s">
        <v>594</v>
      </c>
      <c r="G302" s="20" t="s">
        <v>191</v>
      </c>
      <c r="H302" s="20">
        <v>1</v>
      </c>
      <c r="I302" s="20">
        <v>0</v>
      </c>
      <c r="J302" s="22">
        <f t="shared" si="10"/>
        <v>0</v>
      </c>
      <c r="K302" s="20">
        <f t="shared" si="11"/>
        <v>1</v>
      </c>
    </row>
    <row r="303" spans="1:11" x14ac:dyDescent="0.35">
      <c r="A303" s="20" t="s">
        <v>118</v>
      </c>
      <c r="B303" s="20" t="s">
        <v>163</v>
      </c>
      <c r="C303" s="20" t="s">
        <v>133</v>
      </c>
      <c r="D303" s="20" t="s">
        <v>409</v>
      </c>
      <c r="E303" s="20" t="s">
        <v>189</v>
      </c>
      <c r="F303" s="20" t="s">
        <v>595</v>
      </c>
      <c r="G303" s="20" t="s">
        <v>191</v>
      </c>
      <c r="H303" s="20">
        <v>1</v>
      </c>
      <c r="I303" s="20">
        <v>0</v>
      </c>
      <c r="J303" s="22">
        <f t="shared" si="10"/>
        <v>0</v>
      </c>
      <c r="K303" s="20">
        <f t="shared" si="11"/>
        <v>1</v>
      </c>
    </row>
    <row r="304" spans="1:11" x14ac:dyDescent="0.35">
      <c r="A304" s="20" t="s">
        <v>118</v>
      </c>
      <c r="B304" s="20" t="s">
        <v>163</v>
      </c>
      <c r="C304" s="20" t="s">
        <v>133</v>
      </c>
      <c r="D304" s="20" t="s">
        <v>410</v>
      </c>
      <c r="E304" s="20" t="s">
        <v>189</v>
      </c>
      <c r="F304" s="20" t="s">
        <v>596</v>
      </c>
      <c r="G304" s="20" t="s">
        <v>191</v>
      </c>
      <c r="H304" s="20">
        <v>1</v>
      </c>
      <c r="I304" s="20">
        <v>0</v>
      </c>
      <c r="J304" s="22">
        <f t="shared" si="10"/>
        <v>0</v>
      </c>
      <c r="K304" s="20">
        <f t="shared" si="11"/>
        <v>1</v>
      </c>
    </row>
    <row r="305" spans="1:11" x14ac:dyDescent="0.35">
      <c r="A305" s="20" t="s">
        <v>118</v>
      </c>
      <c r="B305" s="20" t="s">
        <v>163</v>
      </c>
      <c r="C305" s="20" t="s">
        <v>133</v>
      </c>
      <c r="D305" s="20" t="s">
        <v>597</v>
      </c>
      <c r="E305" s="20" t="s">
        <v>189</v>
      </c>
      <c r="F305" s="20" t="s">
        <v>598</v>
      </c>
      <c r="G305" s="20" t="s">
        <v>191</v>
      </c>
      <c r="H305" s="20">
        <v>1</v>
      </c>
      <c r="I305" s="20">
        <v>0</v>
      </c>
      <c r="J305" s="22">
        <f t="shared" si="10"/>
        <v>0</v>
      </c>
      <c r="K305" s="20">
        <f t="shared" si="11"/>
        <v>1</v>
      </c>
    </row>
    <row r="306" spans="1:11" x14ac:dyDescent="0.35">
      <c r="A306" s="20" t="s">
        <v>118</v>
      </c>
      <c r="B306" s="20" t="s">
        <v>163</v>
      </c>
      <c r="C306" s="20" t="s">
        <v>133</v>
      </c>
      <c r="D306" s="20" t="s">
        <v>599</v>
      </c>
      <c r="E306" s="20" t="s">
        <v>189</v>
      </c>
      <c r="F306" s="20" t="s">
        <v>600</v>
      </c>
      <c r="G306" s="20" t="s">
        <v>191</v>
      </c>
      <c r="H306" s="20">
        <v>1</v>
      </c>
      <c r="I306" s="20">
        <v>0</v>
      </c>
      <c r="J306" s="22">
        <f t="shared" si="10"/>
        <v>0</v>
      </c>
      <c r="K306" s="20">
        <f t="shared" si="11"/>
        <v>1</v>
      </c>
    </row>
    <row r="307" spans="1:11" x14ac:dyDescent="0.35">
      <c r="A307" s="20" t="s">
        <v>118</v>
      </c>
      <c r="B307" s="20" t="s">
        <v>163</v>
      </c>
      <c r="C307" s="20" t="s">
        <v>133</v>
      </c>
      <c r="D307" s="20" t="s">
        <v>601</v>
      </c>
      <c r="E307" s="20" t="s">
        <v>189</v>
      </c>
      <c r="F307" s="20" t="s">
        <v>602</v>
      </c>
      <c r="G307" s="20" t="s">
        <v>191</v>
      </c>
      <c r="H307" s="20">
        <v>1</v>
      </c>
      <c r="I307" s="20">
        <v>0</v>
      </c>
      <c r="J307" s="22">
        <f t="shared" si="10"/>
        <v>0</v>
      </c>
      <c r="K307" s="20">
        <f t="shared" si="11"/>
        <v>1</v>
      </c>
    </row>
    <row r="308" spans="1:11" x14ac:dyDescent="0.35">
      <c r="A308" s="20" t="s">
        <v>118</v>
      </c>
      <c r="B308" s="20" t="s">
        <v>163</v>
      </c>
      <c r="C308" s="20" t="s">
        <v>133</v>
      </c>
      <c r="D308" s="20" t="s">
        <v>603</v>
      </c>
      <c r="E308" s="20" t="s">
        <v>189</v>
      </c>
      <c r="F308" s="20" t="s">
        <v>604</v>
      </c>
      <c r="G308" s="20" t="s">
        <v>191</v>
      </c>
      <c r="H308" s="20">
        <v>1</v>
      </c>
      <c r="I308" s="20">
        <v>0</v>
      </c>
      <c r="J308" s="22">
        <f t="shared" si="10"/>
        <v>0</v>
      </c>
      <c r="K308" s="20">
        <f t="shared" si="11"/>
        <v>1</v>
      </c>
    </row>
    <row r="309" spans="1:11" x14ac:dyDescent="0.35">
      <c r="A309" s="20" t="s">
        <v>118</v>
      </c>
      <c r="B309" s="20" t="s">
        <v>163</v>
      </c>
      <c r="C309" s="20" t="s">
        <v>133</v>
      </c>
      <c r="D309" s="20" t="s">
        <v>605</v>
      </c>
      <c r="E309" s="20" t="s">
        <v>189</v>
      </c>
      <c r="F309" s="20" t="s">
        <v>606</v>
      </c>
      <c r="G309" s="20" t="s">
        <v>191</v>
      </c>
      <c r="H309" s="20">
        <v>1</v>
      </c>
      <c r="I309" s="20">
        <v>0</v>
      </c>
      <c r="J309" s="22">
        <f t="shared" si="10"/>
        <v>0</v>
      </c>
      <c r="K309" s="20">
        <f t="shared" si="11"/>
        <v>1</v>
      </c>
    </row>
    <row r="310" spans="1:11" x14ac:dyDescent="0.35">
      <c r="A310" s="20" t="s">
        <v>118</v>
      </c>
      <c r="B310" s="20" t="s">
        <v>163</v>
      </c>
      <c r="C310" s="20" t="s">
        <v>133</v>
      </c>
      <c r="D310" s="20" t="s">
        <v>607</v>
      </c>
      <c r="E310" s="20" t="s">
        <v>189</v>
      </c>
      <c r="F310" s="20" t="s">
        <v>608</v>
      </c>
      <c r="G310" s="20" t="s">
        <v>191</v>
      </c>
      <c r="H310" s="20">
        <v>1</v>
      </c>
      <c r="I310" s="20">
        <v>0</v>
      </c>
      <c r="J310" s="22">
        <f t="shared" si="10"/>
        <v>0</v>
      </c>
      <c r="K310" s="20">
        <f t="shared" si="11"/>
        <v>1</v>
      </c>
    </row>
    <row r="311" spans="1:11" x14ac:dyDescent="0.35">
      <c r="A311" s="20" t="s">
        <v>118</v>
      </c>
      <c r="B311" s="20" t="s">
        <v>163</v>
      </c>
      <c r="C311" s="20" t="s">
        <v>133</v>
      </c>
      <c r="D311" s="20" t="s">
        <v>609</v>
      </c>
      <c r="E311" s="20" t="s">
        <v>189</v>
      </c>
      <c r="F311" s="20" t="s">
        <v>610</v>
      </c>
      <c r="G311" s="20" t="s">
        <v>191</v>
      </c>
      <c r="H311" s="20">
        <v>1</v>
      </c>
      <c r="I311" s="20">
        <v>0</v>
      </c>
      <c r="J311" s="22">
        <f t="shared" si="10"/>
        <v>0</v>
      </c>
      <c r="K311" s="20">
        <f t="shared" si="11"/>
        <v>1</v>
      </c>
    </row>
    <row r="312" spans="1:11" x14ac:dyDescent="0.35">
      <c r="A312" s="20" t="s">
        <v>118</v>
      </c>
      <c r="B312" s="20" t="s">
        <v>163</v>
      </c>
      <c r="C312" s="20" t="s">
        <v>133</v>
      </c>
      <c r="D312" s="20" t="s">
        <v>611</v>
      </c>
      <c r="E312" s="20" t="s">
        <v>189</v>
      </c>
      <c r="F312" s="20" t="s">
        <v>612</v>
      </c>
      <c r="G312" s="20" t="s">
        <v>191</v>
      </c>
      <c r="H312" s="20">
        <v>1</v>
      </c>
      <c r="I312" s="20">
        <v>0</v>
      </c>
      <c r="J312" s="22">
        <f t="shared" si="10"/>
        <v>0</v>
      </c>
      <c r="K312" s="20">
        <f t="shared" si="11"/>
        <v>1</v>
      </c>
    </row>
    <row r="313" spans="1:11" x14ac:dyDescent="0.35">
      <c r="A313" s="20" t="s">
        <v>118</v>
      </c>
      <c r="B313" s="20" t="s">
        <v>163</v>
      </c>
      <c r="C313" s="20" t="s">
        <v>133</v>
      </c>
      <c r="D313" s="20" t="s">
        <v>613</v>
      </c>
      <c r="E313" s="20" t="s">
        <v>189</v>
      </c>
      <c r="F313" s="20" t="s">
        <v>614</v>
      </c>
      <c r="G313" s="20" t="s">
        <v>191</v>
      </c>
      <c r="H313" s="20">
        <v>1</v>
      </c>
      <c r="I313" s="20">
        <v>0</v>
      </c>
      <c r="J313" s="22">
        <f t="shared" si="10"/>
        <v>0</v>
      </c>
      <c r="K313" s="20">
        <f t="shared" si="11"/>
        <v>1</v>
      </c>
    </row>
    <row r="314" spans="1:11" x14ac:dyDescent="0.35">
      <c r="A314" s="20" t="s">
        <v>118</v>
      </c>
      <c r="B314" s="20" t="s">
        <v>163</v>
      </c>
      <c r="C314" s="20" t="s">
        <v>133</v>
      </c>
      <c r="D314" s="20" t="s">
        <v>611</v>
      </c>
      <c r="E314" s="20" t="s">
        <v>189</v>
      </c>
      <c r="F314" s="20" t="s">
        <v>615</v>
      </c>
      <c r="G314" s="20" t="s">
        <v>191</v>
      </c>
      <c r="H314" s="20">
        <v>1</v>
      </c>
      <c r="I314" s="20">
        <v>0</v>
      </c>
      <c r="J314" s="22">
        <f t="shared" si="10"/>
        <v>0</v>
      </c>
      <c r="K314" s="20">
        <f t="shared" si="11"/>
        <v>1</v>
      </c>
    </row>
    <row r="315" spans="1:11" x14ac:dyDescent="0.35">
      <c r="A315" s="20" t="s">
        <v>118</v>
      </c>
      <c r="B315" s="20" t="s">
        <v>163</v>
      </c>
      <c r="C315" s="20" t="s">
        <v>133</v>
      </c>
      <c r="D315" s="20" t="s">
        <v>616</v>
      </c>
      <c r="E315" s="20" t="s">
        <v>189</v>
      </c>
      <c r="F315" s="20" t="s">
        <v>617</v>
      </c>
      <c r="G315" s="20" t="s">
        <v>191</v>
      </c>
      <c r="H315" s="20">
        <v>1</v>
      </c>
      <c r="I315" s="20">
        <v>0</v>
      </c>
      <c r="J315" s="22">
        <f t="shared" si="10"/>
        <v>0</v>
      </c>
      <c r="K315" s="20">
        <f t="shared" si="11"/>
        <v>1</v>
      </c>
    </row>
    <row r="316" spans="1:11" x14ac:dyDescent="0.35">
      <c r="A316" s="20" t="s">
        <v>118</v>
      </c>
      <c r="B316" s="20" t="s">
        <v>163</v>
      </c>
      <c r="C316" s="20" t="s">
        <v>133</v>
      </c>
      <c r="D316" s="20" t="s">
        <v>618</v>
      </c>
      <c r="E316" s="20" t="s">
        <v>189</v>
      </c>
      <c r="F316" s="20" t="s">
        <v>619</v>
      </c>
      <c r="G316" s="20" t="s">
        <v>191</v>
      </c>
      <c r="H316" s="20">
        <v>1</v>
      </c>
      <c r="I316" s="20">
        <v>0</v>
      </c>
      <c r="J316" s="22">
        <f t="shared" si="10"/>
        <v>0</v>
      </c>
      <c r="K316" s="20">
        <f t="shared" si="11"/>
        <v>1</v>
      </c>
    </row>
    <row r="317" spans="1:11" x14ac:dyDescent="0.35">
      <c r="A317" s="20" t="s">
        <v>118</v>
      </c>
      <c r="B317" s="20" t="s">
        <v>163</v>
      </c>
      <c r="C317" s="20" t="s">
        <v>133</v>
      </c>
      <c r="D317" s="20" t="s">
        <v>620</v>
      </c>
      <c r="E317" s="20" t="s">
        <v>189</v>
      </c>
      <c r="F317" s="20" t="s">
        <v>621</v>
      </c>
      <c r="G317" s="20" t="s">
        <v>191</v>
      </c>
      <c r="H317" s="20">
        <v>1</v>
      </c>
      <c r="I317" s="20">
        <v>0</v>
      </c>
      <c r="J317" s="22">
        <f t="shared" si="10"/>
        <v>0</v>
      </c>
      <c r="K317" s="20">
        <f t="shared" si="11"/>
        <v>1</v>
      </c>
    </row>
    <row r="318" spans="1:11" x14ac:dyDescent="0.35">
      <c r="A318" s="20" t="s">
        <v>118</v>
      </c>
      <c r="B318" s="20" t="s">
        <v>163</v>
      </c>
      <c r="C318" s="20" t="s">
        <v>133</v>
      </c>
      <c r="D318" s="20" t="s">
        <v>622</v>
      </c>
      <c r="E318" s="20" t="s">
        <v>189</v>
      </c>
      <c r="F318" s="20" t="s">
        <v>623</v>
      </c>
      <c r="G318" s="20" t="s">
        <v>191</v>
      </c>
      <c r="H318" s="20">
        <v>1</v>
      </c>
      <c r="I318" s="20">
        <v>0</v>
      </c>
      <c r="J318" s="22">
        <f t="shared" si="10"/>
        <v>0</v>
      </c>
      <c r="K318" s="20">
        <f t="shared" si="11"/>
        <v>1</v>
      </c>
    </row>
    <row r="319" spans="1:11" x14ac:dyDescent="0.35">
      <c r="A319" s="20" t="s">
        <v>118</v>
      </c>
      <c r="B319" s="20" t="s">
        <v>163</v>
      </c>
      <c r="C319" s="20" t="s">
        <v>133</v>
      </c>
      <c r="D319" s="20" t="s">
        <v>624</v>
      </c>
      <c r="E319" s="20" t="s">
        <v>189</v>
      </c>
      <c r="F319" s="20" t="s">
        <v>625</v>
      </c>
      <c r="G319" s="20" t="s">
        <v>191</v>
      </c>
      <c r="H319" s="20">
        <v>1</v>
      </c>
      <c r="I319" s="20">
        <v>0</v>
      </c>
      <c r="J319" s="22">
        <f t="shared" si="10"/>
        <v>0</v>
      </c>
      <c r="K319" s="20">
        <f t="shared" si="11"/>
        <v>1</v>
      </c>
    </row>
    <row r="320" spans="1:11" x14ac:dyDescent="0.35">
      <c r="A320" s="20" t="s">
        <v>118</v>
      </c>
      <c r="B320" s="20" t="s">
        <v>163</v>
      </c>
      <c r="C320" s="20" t="s">
        <v>133</v>
      </c>
      <c r="D320" s="20" t="s">
        <v>626</v>
      </c>
      <c r="E320" s="20" t="s">
        <v>189</v>
      </c>
      <c r="F320" s="20" t="s">
        <v>627</v>
      </c>
      <c r="G320" s="20" t="s">
        <v>191</v>
      </c>
      <c r="H320" s="20">
        <v>1</v>
      </c>
      <c r="I320" s="20">
        <v>0</v>
      </c>
      <c r="J320" s="22">
        <f t="shared" si="10"/>
        <v>0</v>
      </c>
      <c r="K320" s="20">
        <f t="shared" si="11"/>
        <v>1</v>
      </c>
    </row>
    <row r="321" spans="1:11" x14ac:dyDescent="0.35">
      <c r="A321" s="20" t="s">
        <v>118</v>
      </c>
      <c r="B321" s="20" t="s">
        <v>163</v>
      </c>
      <c r="C321" s="20" t="s">
        <v>133</v>
      </c>
      <c r="D321" s="20" t="s">
        <v>628</v>
      </c>
      <c r="E321" s="20" t="s">
        <v>189</v>
      </c>
      <c r="F321" s="20" t="s">
        <v>629</v>
      </c>
      <c r="G321" s="20" t="s">
        <v>191</v>
      </c>
      <c r="H321" s="20">
        <v>1</v>
      </c>
      <c r="I321" s="20">
        <v>0</v>
      </c>
      <c r="J321" s="22">
        <f t="shared" si="10"/>
        <v>0</v>
      </c>
      <c r="K321" s="20">
        <f t="shared" si="11"/>
        <v>1</v>
      </c>
    </row>
    <row r="322" spans="1:11" x14ac:dyDescent="0.35">
      <c r="A322" s="20" t="s">
        <v>118</v>
      </c>
      <c r="B322" s="20" t="s">
        <v>163</v>
      </c>
      <c r="C322" s="20" t="s">
        <v>133</v>
      </c>
      <c r="D322" s="20" t="s">
        <v>630</v>
      </c>
      <c r="E322" s="20" t="s">
        <v>189</v>
      </c>
      <c r="F322" s="20" t="s">
        <v>631</v>
      </c>
      <c r="G322" s="20" t="s">
        <v>191</v>
      </c>
      <c r="H322" s="20">
        <v>1</v>
      </c>
      <c r="I322" s="20">
        <v>0</v>
      </c>
      <c r="J322" s="22">
        <f t="shared" si="10"/>
        <v>0</v>
      </c>
      <c r="K322" s="20">
        <f t="shared" si="11"/>
        <v>1</v>
      </c>
    </row>
    <row r="323" spans="1:11" x14ac:dyDescent="0.35">
      <c r="A323" s="20" t="s">
        <v>118</v>
      </c>
      <c r="B323" s="20" t="s">
        <v>163</v>
      </c>
      <c r="C323" s="20" t="s">
        <v>133</v>
      </c>
      <c r="D323" s="20" t="s">
        <v>632</v>
      </c>
      <c r="E323" s="20" t="s">
        <v>189</v>
      </c>
      <c r="F323" s="20" t="s">
        <v>633</v>
      </c>
      <c r="G323" s="20" t="s">
        <v>191</v>
      </c>
      <c r="H323" s="20">
        <v>1</v>
      </c>
      <c r="I323" s="20">
        <v>0</v>
      </c>
      <c r="J323" s="22">
        <f t="shared" si="10"/>
        <v>0</v>
      </c>
      <c r="K323" s="20">
        <f t="shared" si="11"/>
        <v>1</v>
      </c>
    </row>
    <row r="324" spans="1:11" x14ac:dyDescent="0.35">
      <c r="A324" s="20" t="s">
        <v>118</v>
      </c>
      <c r="B324" s="20" t="s">
        <v>163</v>
      </c>
      <c r="C324" s="20" t="s">
        <v>133</v>
      </c>
      <c r="D324" s="20" t="s">
        <v>634</v>
      </c>
      <c r="E324" s="20" t="s">
        <v>189</v>
      </c>
      <c r="F324" s="20" t="s">
        <v>635</v>
      </c>
      <c r="G324" s="20" t="s">
        <v>191</v>
      </c>
      <c r="H324" s="20">
        <v>1</v>
      </c>
      <c r="I324" s="20">
        <v>0</v>
      </c>
      <c r="J324" s="22">
        <f t="shared" si="10"/>
        <v>0</v>
      </c>
      <c r="K324" s="20">
        <f t="shared" si="11"/>
        <v>1</v>
      </c>
    </row>
    <row r="325" spans="1:11" x14ac:dyDescent="0.35">
      <c r="A325" s="20" t="s">
        <v>118</v>
      </c>
      <c r="B325" s="20" t="s">
        <v>163</v>
      </c>
      <c r="C325" s="20" t="s">
        <v>133</v>
      </c>
      <c r="D325" s="20" t="s">
        <v>636</v>
      </c>
      <c r="E325" s="20" t="s">
        <v>189</v>
      </c>
      <c r="F325" s="20" t="s">
        <v>637</v>
      </c>
      <c r="G325" s="20" t="s">
        <v>191</v>
      </c>
      <c r="H325" s="20">
        <v>1</v>
      </c>
      <c r="I325" s="20">
        <v>0</v>
      </c>
      <c r="J325" s="22">
        <f t="shared" si="10"/>
        <v>0</v>
      </c>
      <c r="K325" s="20">
        <f t="shared" si="11"/>
        <v>1</v>
      </c>
    </row>
    <row r="326" spans="1:11" x14ac:dyDescent="0.35">
      <c r="A326" s="20" t="s">
        <v>118</v>
      </c>
      <c r="B326" s="20" t="s">
        <v>163</v>
      </c>
      <c r="C326" s="20" t="s">
        <v>133</v>
      </c>
      <c r="D326" s="20" t="s">
        <v>638</v>
      </c>
      <c r="E326" s="20" t="s">
        <v>189</v>
      </c>
      <c r="F326" s="20" t="s">
        <v>639</v>
      </c>
      <c r="G326" s="20" t="s">
        <v>191</v>
      </c>
      <c r="H326" s="20">
        <v>1</v>
      </c>
      <c r="I326" s="20">
        <v>0</v>
      </c>
      <c r="J326" s="22">
        <f t="shared" si="10"/>
        <v>0</v>
      </c>
      <c r="K326" s="20">
        <f t="shared" si="11"/>
        <v>1</v>
      </c>
    </row>
    <row r="327" spans="1:11" x14ac:dyDescent="0.35">
      <c r="A327" s="20" t="s">
        <v>118</v>
      </c>
      <c r="B327" s="20" t="s">
        <v>163</v>
      </c>
      <c r="C327" s="20" t="s">
        <v>133</v>
      </c>
      <c r="D327" s="20" t="s">
        <v>640</v>
      </c>
      <c r="E327" s="20" t="s">
        <v>189</v>
      </c>
      <c r="F327" s="20" t="s">
        <v>641</v>
      </c>
      <c r="G327" s="20" t="s">
        <v>191</v>
      </c>
      <c r="H327" s="20">
        <v>1</v>
      </c>
      <c r="I327" s="20">
        <v>0</v>
      </c>
      <c r="J327" s="22">
        <f t="shared" si="10"/>
        <v>0</v>
      </c>
      <c r="K327" s="20">
        <f t="shared" si="11"/>
        <v>1</v>
      </c>
    </row>
    <row r="328" spans="1:11" x14ac:dyDescent="0.35">
      <c r="A328" s="20" t="s">
        <v>118</v>
      </c>
      <c r="B328" s="20" t="s">
        <v>163</v>
      </c>
      <c r="C328" s="20" t="s">
        <v>133</v>
      </c>
      <c r="D328" s="20" t="s">
        <v>642</v>
      </c>
      <c r="E328" s="20" t="s">
        <v>189</v>
      </c>
      <c r="F328" s="20" t="s">
        <v>643</v>
      </c>
      <c r="G328" s="20" t="s">
        <v>191</v>
      </c>
      <c r="H328" s="20">
        <v>1</v>
      </c>
      <c r="I328" s="20">
        <v>0</v>
      </c>
      <c r="J328" s="22">
        <f t="shared" si="10"/>
        <v>0</v>
      </c>
      <c r="K328" s="20">
        <f t="shared" si="11"/>
        <v>1</v>
      </c>
    </row>
    <row r="329" spans="1:11" x14ac:dyDescent="0.35">
      <c r="A329" s="20" t="s">
        <v>118</v>
      </c>
      <c r="B329" s="20" t="s">
        <v>163</v>
      </c>
      <c r="C329" s="20" t="s">
        <v>133</v>
      </c>
      <c r="D329" s="20" t="s">
        <v>644</v>
      </c>
      <c r="E329" s="20" t="s">
        <v>189</v>
      </c>
      <c r="F329" s="20" t="s">
        <v>645</v>
      </c>
      <c r="G329" s="20" t="s">
        <v>191</v>
      </c>
      <c r="H329" s="20">
        <v>1</v>
      </c>
      <c r="I329" s="20">
        <v>0</v>
      </c>
      <c r="J329" s="22">
        <f t="shared" si="10"/>
        <v>0</v>
      </c>
      <c r="K329" s="20">
        <f t="shared" si="11"/>
        <v>1</v>
      </c>
    </row>
    <row r="330" spans="1:11" x14ac:dyDescent="0.35">
      <c r="A330" s="20" t="s">
        <v>118</v>
      </c>
      <c r="B330" s="20" t="s">
        <v>163</v>
      </c>
      <c r="C330" s="20" t="s">
        <v>133</v>
      </c>
      <c r="D330" s="20" t="s">
        <v>646</v>
      </c>
      <c r="E330" s="20" t="s">
        <v>189</v>
      </c>
      <c r="F330" s="20" t="s">
        <v>647</v>
      </c>
      <c r="G330" s="20" t="s">
        <v>191</v>
      </c>
      <c r="H330" s="20">
        <v>1</v>
      </c>
      <c r="I330" s="20">
        <v>0</v>
      </c>
      <c r="J330" s="22">
        <f t="shared" si="10"/>
        <v>0</v>
      </c>
      <c r="K330" s="20">
        <f t="shared" si="11"/>
        <v>1</v>
      </c>
    </row>
    <row r="331" spans="1:11" x14ac:dyDescent="0.35">
      <c r="A331" s="20" t="s">
        <v>118</v>
      </c>
      <c r="B331" s="20" t="s">
        <v>163</v>
      </c>
      <c r="C331" s="20" t="s">
        <v>133</v>
      </c>
      <c r="D331" s="20" t="s">
        <v>648</v>
      </c>
      <c r="E331" s="20" t="s">
        <v>189</v>
      </c>
      <c r="F331" s="20" t="s">
        <v>649</v>
      </c>
      <c r="G331" s="20" t="s">
        <v>191</v>
      </c>
      <c r="H331" s="20">
        <v>1</v>
      </c>
      <c r="I331" s="20">
        <v>0</v>
      </c>
      <c r="J331" s="22">
        <f t="shared" si="10"/>
        <v>0</v>
      </c>
      <c r="K331" s="20">
        <f t="shared" si="11"/>
        <v>1</v>
      </c>
    </row>
    <row r="332" spans="1:11" x14ac:dyDescent="0.35">
      <c r="A332" s="20" t="s">
        <v>118</v>
      </c>
      <c r="B332" s="20" t="s">
        <v>163</v>
      </c>
      <c r="C332" s="20" t="s">
        <v>133</v>
      </c>
      <c r="D332" s="20" t="s">
        <v>650</v>
      </c>
      <c r="E332" s="20" t="s">
        <v>189</v>
      </c>
      <c r="F332" s="20" t="s">
        <v>651</v>
      </c>
      <c r="G332" s="20" t="s">
        <v>191</v>
      </c>
      <c r="H332" s="20">
        <v>1</v>
      </c>
      <c r="I332" s="20">
        <v>0</v>
      </c>
      <c r="J332" s="22">
        <f t="shared" si="10"/>
        <v>0</v>
      </c>
      <c r="K332" s="20">
        <f t="shared" si="11"/>
        <v>1</v>
      </c>
    </row>
    <row r="333" spans="1:11" x14ac:dyDescent="0.35">
      <c r="A333" s="20" t="s">
        <v>118</v>
      </c>
      <c r="B333" s="20" t="s">
        <v>163</v>
      </c>
      <c r="C333" s="20" t="s">
        <v>133</v>
      </c>
      <c r="D333" s="20" t="s">
        <v>650</v>
      </c>
      <c r="E333" s="20" t="s">
        <v>189</v>
      </c>
      <c r="F333" s="20" t="s">
        <v>652</v>
      </c>
      <c r="G333" s="20" t="s">
        <v>191</v>
      </c>
      <c r="H333" s="20">
        <v>1</v>
      </c>
      <c r="I333" s="20">
        <v>0</v>
      </c>
      <c r="J333" s="22">
        <f t="shared" si="10"/>
        <v>0</v>
      </c>
      <c r="K333" s="20">
        <f t="shared" si="11"/>
        <v>1</v>
      </c>
    </row>
    <row r="334" spans="1:11" x14ac:dyDescent="0.35">
      <c r="A334" s="20" t="s">
        <v>118</v>
      </c>
      <c r="B334" s="20" t="s">
        <v>163</v>
      </c>
      <c r="C334" s="20" t="s">
        <v>133</v>
      </c>
      <c r="D334" s="20" t="s">
        <v>653</v>
      </c>
      <c r="E334" s="20" t="s">
        <v>189</v>
      </c>
      <c r="F334" s="20" t="s">
        <v>654</v>
      </c>
      <c r="G334" s="20" t="s">
        <v>191</v>
      </c>
      <c r="H334" s="20">
        <v>1</v>
      </c>
      <c r="I334" s="20">
        <v>0</v>
      </c>
      <c r="J334" s="22">
        <f t="shared" si="10"/>
        <v>0</v>
      </c>
      <c r="K334" s="20">
        <f t="shared" si="11"/>
        <v>1</v>
      </c>
    </row>
    <row r="335" spans="1:11" x14ac:dyDescent="0.35">
      <c r="A335" s="20" t="s">
        <v>118</v>
      </c>
      <c r="B335" s="20" t="s">
        <v>163</v>
      </c>
      <c r="C335" s="20" t="s">
        <v>133</v>
      </c>
      <c r="D335" s="20" t="s">
        <v>655</v>
      </c>
      <c r="E335" s="20" t="s">
        <v>189</v>
      </c>
      <c r="F335" s="20" t="s">
        <v>656</v>
      </c>
      <c r="G335" s="20" t="s">
        <v>191</v>
      </c>
      <c r="H335" s="20">
        <v>1</v>
      </c>
      <c r="I335" s="20">
        <v>0</v>
      </c>
      <c r="J335" s="22">
        <f t="shared" si="10"/>
        <v>0</v>
      </c>
      <c r="K335" s="20">
        <f t="shared" si="11"/>
        <v>1</v>
      </c>
    </row>
    <row r="336" spans="1:11" x14ac:dyDescent="0.35">
      <c r="A336" s="20" t="s">
        <v>118</v>
      </c>
      <c r="B336" s="20" t="s">
        <v>163</v>
      </c>
      <c r="C336" s="20" t="s">
        <v>133</v>
      </c>
      <c r="D336" s="20" t="s">
        <v>657</v>
      </c>
      <c r="E336" s="20" t="s">
        <v>189</v>
      </c>
      <c r="F336" s="20" t="s">
        <v>658</v>
      </c>
      <c r="G336" s="20" t="s">
        <v>191</v>
      </c>
      <c r="H336" s="20">
        <v>1</v>
      </c>
      <c r="I336" s="20">
        <v>0</v>
      </c>
      <c r="J336" s="22">
        <f t="shared" si="10"/>
        <v>0</v>
      </c>
      <c r="K336" s="20">
        <f t="shared" si="11"/>
        <v>1</v>
      </c>
    </row>
    <row r="337" spans="1:11" x14ac:dyDescent="0.35">
      <c r="A337" s="20" t="s">
        <v>118</v>
      </c>
      <c r="B337" s="20" t="s">
        <v>163</v>
      </c>
      <c r="C337" s="20" t="s">
        <v>133</v>
      </c>
      <c r="D337" s="20" t="s">
        <v>659</v>
      </c>
      <c r="E337" s="20" t="s">
        <v>189</v>
      </c>
      <c r="F337" s="20" t="s">
        <v>660</v>
      </c>
      <c r="G337" s="20" t="s">
        <v>191</v>
      </c>
      <c r="H337" s="20">
        <v>1</v>
      </c>
      <c r="I337" s="20">
        <v>0</v>
      </c>
      <c r="J337" s="22">
        <f t="shared" si="10"/>
        <v>0</v>
      </c>
      <c r="K337" s="20">
        <f t="shared" si="11"/>
        <v>1</v>
      </c>
    </row>
    <row r="338" spans="1:11" x14ac:dyDescent="0.35">
      <c r="A338" s="20" t="s">
        <v>118</v>
      </c>
      <c r="B338" s="20" t="s">
        <v>163</v>
      </c>
      <c r="C338" s="20" t="s">
        <v>133</v>
      </c>
      <c r="D338" s="20" t="s">
        <v>661</v>
      </c>
      <c r="E338" s="20" t="s">
        <v>189</v>
      </c>
      <c r="F338" s="20" t="s">
        <v>662</v>
      </c>
      <c r="G338" s="20" t="s">
        <v>191</v>
      </c>
      <c r="H338" s="20">
        <v>1</v>
      </c>
      <c r="I338" s="20">
        <v>0</v>
      </c>
      <c r="J338" s="22">
        <f t="shared" si="10"/>
        <v>0</v>
      </c>
      <c r="K338" s="20">
        <f t="shared" si="11"/>
        <v>1</v>
      </c>
    </row>
    <row r="339" spans="1:11" x14ac:dyDescent="0.35">
      <c r="A339" s="20" t="s">
        <v>118</v>
      </c>
      <c r="B339" s="20" t="s">
        <v>163</v>
      </c>
      <c r="C339" s="20" t="s">
        <v>133</v>
      </c>
      <c r="D339" s="20" t="s">
        <v>663</v>
      </c>
      <c r="E339" s="20" t="s">
        <v>189</v>
      </c>
      <c r="F339" s="20" t="s">
        <v>664</v>
      </c>
      <c r="G339" s="20" t="s">
        <v>191</v>
      </c>
      <c r="H339" s="20">
        <v>1</v>
      </c>
      <c r="I339" s="20">
        <v>0</v>
      </c>
      <c r="J339" s="22">
        <f t="shared" si="10"/>
        <v>0</v>
      </c>
      <c r="K339" s="20">
        <f t="shared" si="11"/>
        <v>1</v>
      </c>
    </row>
    <row r="340" spans="1:11" x14ac:dyDescent="0.35">
      <c r="A340" s="20" t="s">
        <v>118</v>
      </c>
      <c r="B340" s="20" t="s">
        <v>163</v>
      </c>
      <c r="C340" s="20" t="s">
        <v>133</v>
      </c>
      <c r="D340" s="20" t="s">
        <v>665</v>
      </c>
      <c r="E340" s="20" t="s">
        <v>189</v>
      </c>
      <c r="F340" s="20" t="s">
        <v>666</v>
      </c>
      <c r="G340" s="20" t="s">
        <v>191</v>
      </c>
      <c r="H340" s="20">
        <v>1</v>
      </c>
      <c r="I340" s="20">
        <v>0</v>
      </c>
      <c r="J340" s="22">
        <f t="shared" si="10"/>
        <v>0</v>
      </c>
      <c r="K340" s="20">
        <f t="shared" si="11"/>
        <v>1</v>
      </c>
    </row>
    <row r="341" spans="1:11" x14ac:dyDescent="0.35">
      <c r="A341" s="20" t="s">
        <v>118</v>
      </c>
      <c r="B341" s="20" t="s">
        <v>163</v>
      </c>
      <c r="C341" s="20" t="s">
        <v>133</v>
      </c>
      <c r="D341" s="20" t="s">
        <v>663</v>
      </c>
      <c r="E341" s="20" t="s">
        <v>189</v>
      </c>
      <c r="F341" s="20" t="s">
        <v>667</v>
      </c>
      <c r="G341" s="20" t="s">
        <v>191</v>
      </c>
      <c r="H341" s="20">
        <v>1</v>
      </c>
      <c r="I341" s="20">
        <v>0</v>
      </c>
      <c r="J341" s="22">
        <f t="shared" si="10"/>
        <v>0</v>
      </c>
      <c r="K341" s="20">
        <f t="shared" si="11"/>
        <v>1</v>
      </c>
    </row>
    <row r="342" spans="1:11" x14ac:dyDescent="0.35">
      <c r="A342" s="20" t="s">
        <v>118</v>
      </c>
      <c r="B342" s="20" t="s">
        <v>163</v>
      </c>
      <c r="C342" s="20" t="s">
        <v>133</v>
      </c>
      <c r="D342" s="20" t="s">
        <v>668</v>
      </c>
      <c r="E342" s="20" t="s">
        <v>189</v>
      </c>
      <c r="F342" s="20" t="s">
        <v>669</v>
      </c>
      <c r="G342" s="20" t="s">
        <v>191</v>
      </c>
      <c r="H342" s="20">
        <v>1</v>
      </c>
      <c r="I342" s="20">
        <v>0</v>
      </c>
      <c r="J342" s="22">
        <f t="shared" si="10"/>
        <v>0</v>
      </c>
      <c r="K342" s="20">
        <f t="shared" si="11"/>
        <v>1</v>
      </c>
    </row>
    <row r="343" spans="1:11" x14ac:dyDescent="0.35">
      <c r="A343" s="20" t="s">
        <v>118</v>
      </c>
      <c r="B343" s="20" t="s">
        <v>163</v>
      </c>
      <c r="C343" s="20" t="s">
        <v>133</v>
      </c>
      <c r="D343" s="20" t="s">
        <v>663</v>
      </c>
      <c r="E343" s="20" t="s">
        <v>189</v>
      </c>
      <c r="F343" s="20" t="s">
        <v>670</v>
      </c>
      <c r="G343" s="20" t="s">
        <v>191</v>
      </c>
      <c r="H343" s="20">
        <v>1</v>
      </c>
      <c r="I343" s="20">
        <v>0</v>
      </c>
      <c r="J343" s="22">
        <f t="shared" si="10"/>
        <v>0</v>
      </c>
      <c r="K343" s="20">
        <f t="shared" si="11"/>
        <v>1</v>
      </c>
    </row>
    <row r="344" spans="1:11" x14ac:dyDescent="0.35">
      <c r="A344" s="20" t="s">
        <v>118</v>
      </c>
      <c r="B344" s="20" t="s">
        <v>163</v>
      </c>
      <c r="C344" s="20" t="s">
        <v>133</v>
      </c>
      <c r="D344" s="20" t="s">
        <v>663</v>
      </c>
      <c r="E344" s="20" t="s">
        <v>189</v>
      </c>
      <c r="F344" s="20" t="s">
        <v>671</v>
      </c>
      <c r="G344" s="20" t="s">
        <v>191</v>
      </c>
      <c r="H344" s="20">
        <v>1</v>
      </c>
      <c r="I344" s="20">
        <v>0</v>
      </c>
      <c r="J344" s="22">
        <f t="shared" si="10"/>
        <v>0</v>
      </c>
      <c r="K344" s="20">
        <f t="shared" si="11"/>
        <v>1</v>
      </c>
    </row>
    <row r="345" spans="1:11" x14ac:dyDescent="0.35">
      <c r="A345" s="20" t="s">
        <v>118</v>
      </c>
      <c r="B345" s="20" t="s">
        <v>163</v>
      </c>
      <c r="C345" s="20" t="s">
        <v>133</v>
      </c>
      <c r="D345" s="20" t="s">
        <v>672</v>
      </c>
      <c r="E345" s="20" t="s">
        <v>189</v>
      </c>
      <c r="F345" s="20" t="s">
        <v>673</v>
      </c>
      <c r="G345" s="20" t="s">
        <v>191</v>
      </c>
      <c r="H345" s="20">
        <v>1</v>
      </c>
      <c r="I345" s="20">
        <v>0</v>
      </c>
      <c r="J345" s="22">
        <f t="shared" si="10"/>
        <v>0</v>
      </c>
      <c r="K345" s="20">
        <f t="shared" si="11"/>
        <v>1</v>
      </c>
    </row>
    <row r="346" spans="1:11" x14ac:dyDescent="0.35">
      <c r="A346" s="20" t="s">
        <v>118</v>
      </c>
      <c r="B346" s="20" t="s">
        <v>163</v>
      </c>
      <c r="C346" s="20" t="s">
        <v>133</v>
      </c>
      <c r="D346" s="20" t="s">
        <v>674</v>
      </c>
      <c r="E346" s="20" t="s">
        <v>189</v>
      </c>
      <c r="F346" s="20" t="s">
        <v>675</v>
      </c>
      <c r="G346" s="20" t="s">
        <v>191</v>
      </c>
      <c r="H346" s="20">
        <v>1</v>
      </c>
      <c r="I346" s="20">
        <v>0</v>
      </c>
      <c r="J346" s="22">
        <f t="shared" si="10"/>
        <v>0</v>
      </c>
      <c r="K346" s="20">
        <f t="shared" si="11"/>
        <v>1</v>
      </c>
    </row>
    <row r="347" spans="1:11" x14ac:dyDescent="0.35">
      <c r="A347" s="20" t="s">
        <v>118</v>
      </c>
      <c r="B347" s="20" t="s">
        <v>163</v>
      </c>
      <c r="C347" s="20" t="s">
        <v>133</v>
      </c>
      <c r="D347" s="20" t="s">
        <v>676</v>
      </c>
      <c r="E347" s="20" t="s">
        <v>189</v>
      </c>
      <c r="F347" s="20" t="s">
        <v>677</v>
      </c>
      <c r="G347" s="20" t="s">
        <v>191</v>
      </c>
      <c r="H347" s="20">
        <v>1</v>
      </c>
      <c r="I347" s="20">
        <v>0</v>
      </c>
      <c r="J347" s="22">
        <f t="shared" si="10"/>
        <v>0</v>
      </c>
      <c r="K347" s="20">
        <f t="shared" si="11"/>
        <v>1</v>
      </c>
    </row>
    <row r="348" spans="1:11" x14ac:dyDescent="0.35">
      <c r="A348" s="20" t="s">
        <v>118</v>
      </c>
      <c r="B348" s="20" t="s">
        <v>163</v>
      </c>
      <c r="C348" s="20" t="s">
        <v>133</v>
      </c>
      <c r="D348" s="20" t="s">
        <v>678</v>
      </c>
      <c r="E348" s="20" t="s">
        <v>189</v>
      </c>
      <c r="F348" s="20" t="s">
        <v>679</v>
      </c>
      <c r="G348" s="20" t="s">
        <v>191</v>
      </c>
      <c r="H348" s="20">
        <v>1</v>
      </c>
      <c r="I348" s="20">
        <v>0</v>
      </c>
      <c r="J348" s="22">
        <f t="shared" si="10"/>
        <v>0</v>
      </c>
      <c r="K348" s="20">
        <f t="shared" si="11"/>
        <v>1</v>
      </c>
    </row>
    <row r="349" spans="1:11" x14ac:dyDescent="0.35">
      <c r="A349" s="20" t="s">
        <v>118</v>
      </c>
      <c r="B349" s="20" t="s">
        <v>163</v>
      </c>
      <c r="C349" s="20" t="s">
        <v>133</v>
      </c>
      <c r="D349" s="20" t="s">
        <v>680</v>
      </c>
      <c r="E349" s="20" t="s">
        <v>189</v>
      </c>
      <c r="F349" s="20" t="s">
        <v>681</v>
      </c>
      <c r="G349" s="20" t="s">
        <v>191</v>
      </c>
      <c r="H349" s="20">
        <v>1</v>
      </c>
      <c r="I349" s="20">
        <v>0</v>
      </c>
      <c r="J349" s="22">
        <f t="shared" si="10"/>
        <v>0</v>
      </c>
      <c r="K349" s="20">
        <f t="shared" si="11"/>
        <v>1</v>
      </c>
    </row>
    <row r="350" spans="1:11" x14ac:dyDescent="0.35">
      <c r="A350" s="20" t="s">
        <v>118</v>
      </c>
      <c r="B350" s="20" t="s">
        <v>163</v>
      </c>
      <c r="C350" s="20" t="s">
        <v>133</v>
      </c>
      <c r="D350" s="20" t="s">
        <v>682</v>
      </c>
      <c r="E350" s="20" t="s">
        <v>189</v>
      </c>
      <c r="F350" s="20" t="s">
        <v>683</v>
      </c>
      <c r="G350" s="20" t="s">
        <v>191</v>
      </c>
      <c r="H350" s="20">
        <v>1</v>
      </c>
      <c r="I350" s="20">
        <v>0</v>
      </c>
      <c r="J350" s="22">
        <f t="shared" si="10"/>
        <v>0</v>
      </c>
      <c r="K350" s="20">
        <f t="shared" si="11"/>
        <v>1</v>
      </c>
    </row>
    <row r="351" spans="1:11" x14ac:dyDescent="0.35">
      <c r="A351" s="20" t="s">
        <v>118</v>
      </c>
      <c r="B351" s="20" t="s">
        <v>163</v>
      </c>
      <c r="C351" s="20" t="s">
        <v>133</v>
      </c>
      <c r="D351" s="20" t="s">
        <v>684</v>
      </c>
      <c r="E351" s="20" t="s">
        <v>189</v>
      </c>
      <c r="F351" s="20" t="s">
        <v>685</v>
      </c>
      <c r="G351" s="20" t="s">
        <v>191</v>
      </c>
      <c r="H351" s="20">
        <v>1</v>
      </c>
      <c r="I351" s="20">
        <v>0</v>
      </c>
      <c r="J351" s="22">
        <f t="shared" si="10"/>
        <v>0</v>
      </c>
      <c r="K351" s="20">
        <f t="shared" si="11"/>
        <v>1</v>
      </c>
    </row>
    <row r="352" spans="1:11" x14ac:dyDescent="0.35">
      <c r="A352" s="20" t="s">
        <v>118</v>
      </c>
      <c r="B352" s="20" t="s">
        <v>163</v>
      </c>
      <c r="C352" s="20" t="s">
        <v>133</v>
      </c>
      <c r="D352" s="20" t="s">
        <v>686</v>
      </c>
      <c r="E352" s="20" t="s">
        <v>189</v>
      </c>
      <c r="F352" s="20" t="s">
        <v>687</v>
      </c>
      <c r="G352" s="20" t="s">
        <v>191</v>
      </c>
      <c r="H352" s="20">
        <v>1</v>
      </c>
      <c r="I352" s="20">
        <v>0</v>
      </c>
      <c r="J352" s="22">
        <f t="shared" si="10"/>
        <v>0</v>
      </c>
      <c r="K352" s="20">
        <f t="shared" si="11"/>
        <v>1</v>
      </c>
    </row>
    <row r="353" spans="1:11" x14ac:dyDescent="0.35">
      <c r="A353" s="20" t="s">
        <v>118</v>
      </c>
      <c r="B353" s="20" t="s">
        <v>163</v>
      </c>
      <c r="C353" s="20" t="s">
        <v>133</v>
      </c>
      <c r="D353" s="20" t="s">
        <v>688</v>
      </c>
      <c r="E353" s="20" t="s">
        <v>189</v>
      </c>
      <c r="F353" s="20" t="s">
        <v>687</v>
      </c>
      <c r="G353" s="20" t="s">
        <v>191</v>
      </c>
      <c r="H353" s="20">
        <v>1</v>
      </c>
      <c r="I353" s="20">
        <v>0</v>
      </c>
      <c r="J353" s="22">
        <f t="shared" si="10"/>
        <v>0</v>
      </c>
      <c r="K353" s="20">
        <f t="shared" si="11"/>
        <v>1</v>
      </c>
    </row>
    <row r="354" spans="1:11" x14ac:dyDescent="0.35">
      <c r="A354" s="20" t="s">
        <v>118</v>
      </c>
      <c r="B354" s="20" t="s">
        <v>163</v>
      </c>
      <c r="C354" s="20" t="s">
        <v>133</v>
      </c>
      <c r="D354" s="20" t="s">
        <v>689</v>
      </c>
      <c r="E354" s="20" t="s">
        <v>189</v>
      </c>
      <c r="F354" s="20" t="s">
        <v>690</v>
      </c>
      <c r="G354" s="20" t="s">
        <v>191</v>
      </c>
      <c r="H354" s="20">
        <v>1</v>
      </c>
      <c r="I354" s="20">
        <v>0</v>
      </c>
      <c r="J354" s="22">
        <f t="shared" si="10"/>
        <v>0</v>
      </c>
      <c r="K354" s="20">
        <f t="shared" si="11"/>
        <v>1</v>
      </c>
    </row>
    <row r="355" spans="1:11" x14ac:dyDescent="0.35">
      <c r="A355" s="20" t="s">
        <v>118</v>
      </c>
      <c r="B355" s="20" t="s">
        <v>163</v>
      </c>
      <c r="C355" s="20" t="s">
        <v>133</v>
      </c>
      <c r="D355" s="20" t="s">
        <v>691</v>
      </c>
      <c r="E355" s="20" t="s">
        <v>189</v>
      </c>
      <c r="F355" s="20" t="s">
        <v>692</v>
      </c>
      <c r="G355" s="20" t="s">
        <v>191</v>
      </c>
      <c r="H355" s="20">
        <v>1</v>
      </c>
      <c r="I355" s="20">
        <v>0</v>
      </c>
      <c r="J355" s="22">
        <f t="shared" si="10"/>
        <v>0</v>
      </c>
      <c r="K355" s="20">
        <f t="shared" si="11"/>
        <v>1</v>
      </c>
    </row>
    <row r="356" spans="1:11" x14ac:dyDescent="0.35">
      <c r="A356" s="20" t="s">
        <v>118</v>
      </c>
      <c r="B356" s="20" t="s">
        <v>163</v>
      </c>
      <c r="C356" s="20" t="s">
        <v>133</v>
      </c>
      <c r="D356" s="20" t="s">
        <v>693</v>
      </c>
      <c r="E356" s="20" t="s">
        <v>189</v>
      </c>
      <c r="F356" s="20" t="s">
        <v>694</v>
      </c>
      <c r="G356" s="20" t="s">
        <v>191</v>
      </c>
      <c r="H356" s="20">
        <v>1</v>
      </c>
      <c r="I356" s="20">
        <v>0</v>
      </c>
      <c r="J356" s="22">
        <f t="shared" ref="J356:J419" si="12">IFERROR(I356/H356,0)</f>
        <v>0</v>
      </c>
      <c r="K356" s="20">
        <f t="shared" ref="K356:K419" si="13">H356-I356</f>
        <v>1</v>
      </c>
    </row>
    <row r="357" spans="1:11" x14ac:dyDescent="0.35">
      <c r="A357" s="20" t="s">
        <v>118</v>
      </c>
      <c r="B357" s="20" t="s">
        <v>163</v>
      </c>
      <c r="C357" s="20" t="s">
        <v>133</v>
      </c>
      <c r="D357" s="20" t="s">
        <v>695</v>
      </c>
      <c r="E357" s="20" t="s">
        <v>189</v>
      </c>
      <c r="F357" s="20" t="s">
        <v>696</v>
      </c>
      <c r="G357" s="20" t="s">
        <v>191</v>
      </c>
      <c r="H357" s="20">
        <v>1</v>
      </c>
      <c r="I357" s="20">
        <v>0</v>
      </c>
      <c r="J357" s="22">
        <f t="shared" si="12"/>
        <v>0</v>
      </c>
      <c r="K357" s="20">
        <f t="shared" si="13"/>
        <v>1</v>
      </c>
    </row>
    <row r="358" spans="1:11" x14ac:dyDescent="0.35">
      <c r="A358" s="20" t="s">
        <v>118</v>
      </c>
      <c r="B358" s="20" t="s">
        <v>163</v>
      </c>
      <c r="C358" s="20" t="s">
        <v>133</v>
      </c>
      <c r="D358" s="20" t="s">
        <v>697</v>
      </c>
      <c r="E358" s="20" t="s">
        <v>189</v>
      </c>
      <c r="F358" s="20" t="s">
        <v>698</v>
      </c>
      <c r="G358" s="20" t="s">
        <v>191</v>
      </c>
      <c r="H358" s="20">
        <v>1</v>
      </c>
      <c r="I358" s="20">
        <v>0</v>
      </c>
      <c r="J358" s="22">
        <f t="shared" si="12"/>
        <v>0</v>
      </c>
      <c r="K358" s="20">
        <f t="shared" si="13"/>
        <v>1</v>
      </c>
    </row>
    <row r="359" spans="1:11" x14ac:dyDescent="0.35">
      <c r="A359" s="20" t="s">
        <v>118</v>
      </c>
      <c r="B359" s="20" t="s">
        <v>163</v>
      </c>
      <c r="C359" s="20" t="s">
        <v>133</v>
      </c>
      <c r="D359" s="20" t="s">
        <v>699</v>
      </c>
      <c r="E359" s="20" t="s">
        <v>189</v>
      </c>
      <c r="F359" s="20" t="s">
        <v>700</v>
      </c>
      <c r="G359" s="20" t="s">
        <v>191</v>
      </c>
      <c r="H359" s="20">
        <v>1</v>
      </c>
      <c r="I359" s="20">
        <v>0</v>
      </c>
      <c r="J359" s="22">
        <f t="shared" si="12"/>
        <v>0</v>
      </c>
      <c r="K359" s="20">
        <f t="shared" si="13"/>
        <v>1</v>
      </c>
    </row>
    <row r="360" spans="1:11" x14ac:dyDescent="0.35">
      <c r="A360" s="20" t="s">
        <v>118</v>
      </c>
      <c r="B360" s="20" t="s">
        <v>163</v>
      </c>
      <c r="C360" s="20" t="s">
        <v>133</v>
      </c>
      <c r="D360" s="20" t="s">
        <v>701</v>
      </c>
      <c r="E360" s="20" t="s">
        <v>189</v>
      </c>
      <c r="F360" s="20" t="s">
        <v>702</v>
      </c>
      <c r="G360" s="20" t="s">
        <v>191</v>
      </c>
      <c r="H360" s="20">
        <v>1</v>
      </c>
      <c r="I360" s="20">
        <v>0</v>
      </c>
      <c r="J360" s="22">
        <f t="shared" si="12"/>
        <v>0</v>
      </c>
      <c r="K360" s="20">
        <f t="shared" si="13"/>
        <v>1</v>
      </c>
    </row>
    <row r="361" spans="1:11" x14ac:dyDescent="0.35">
      <c r="A361" s="20" t="s">
        <v>118</v>
      </c>
      <c r="B361" s="20" t="s">
        <v>163</v>
      </c>
      <c r="C361" s="20" t="s">
        <v>133</v>
      </c>
      <c r="D361" s="20" t="s">
        <v>703</v>
      </c>
      <c r="E361" s="20" t="s">
        <v>189</v>
      </c>
      <c r="F361" s="20" t="s">
        <v>704</v>
      </c>
      <c r="G361" s="20" t="s">
        <v>191</v>
      </c>
      <c r="H361" s="20">
        <v>1</v>
      </c>
      <c r="I361" s="20">
        <v>0</v>
      </c>
      <c r="J361" s="22">
        <f t="shared" si="12"/>
        <v>0</v>
      </c>
      <c r="K361" s="20">
        <f t="shared" si="13"/>
        <v>1</v>
      </c>
    </row>
    <row r="362" spans="1:11" x14ac:dyDescent="0.35">
      <c r="A362" s="20" t="s">
        <v>118</v>
      </c>
      <c r="B362" s="20" t="s">
        <v>163</v>
      </c>
      <c r="C362" s="20" t="s">
        <v>133</v>
      </c>
      <c r="D362" s="20" t="s">
        <v>705</v>
      </c>
      <c r="E362" s="20" t="s">
        <v>189</v>
      </c>
      <c r="F362" s="20" t="s">
        <v>706</v>
      </c>
      <c r="G362" s="20" t="s">
        <v>191</v>
      </c>
      <c r="H362" s="20">
        <v>1</v>
      </c>
      <c r="I362" s="20">
        <v>0</v>
      </c>
      <c r="J362" s="22">
        <f t="shared" si="12"/>
        <v>0</v>
      </c>
      <c r="K362" s="20">
        <f t="shared" si="13"/>
        <v>1</v>
      </c>
    </row>
    <row r="363" spans="1:11" x14ac:dyDescent="0.35">
      <c r="A363" s="20" t="s">
        <v>118</v>
      </c>
      <c r="B363" s="20" t="s">
        <v>163</v>
      </c>
      <c r="C363" s="20" t="s">
        <v>133</v>
      </c>
      <c r="D363" s="20" t="s">
        <v>707</v>
      </c>
      <c r="E363" s="20" t="s">
        <v>189</v>
      </c>
      <c r="F363" s="20" t="s">
        <v>708</v>
      </c>
      <c r="G363" s="20" t="s">
        <v>191</v>
      </c>
      <c r="H363" s="20">
        <v>1</v>
      </c>
      <c r="I363" s="20">
        <v>0</v>
      </c>
      <c r="J363" s="22">
        <f t="shared" si="12"/>
        <v>0</v>
      </c>
      <c r="K363" s="20">
        <f t="shared" si="13"/>
        <v>1</v>
      </c>
    </row>
    <row r="364" spans="1:11" x14ac:dyDescent="0.35">
      <c r="A364" s="20" t="s">
        <v>118</v>
      </c>
      <c r="B364" s="20" t="s">
        <v>163</v>
      </c>
      <c r="C364" s="20" t="s">
        <v>133</v>
      </c>
      <c r="D364" s="20" t="s">
        <v>709</v>
      </c>
      <c r="E364" s="20" t="s">
        <v>189</v>
      </c>
      <c r="F364" s="20" t="s">
        <v>710</v>
      </c>
      <c r="G364" s="20" t="s">
        <v>191</v>
      </c>
      <c r="H364" s="20">
        <v>1</v>
      </c>
      <c r="I364" s="20">
        <v>0</v>
      </c>
      <c r="J364" s="22">
        <f t="shared" si="12"/>
        <v>0</v>
      </c>
      <c r="K364" s="20">
        <f t="shared" si="13"/>
        <v>1</v>
      </c>
    </row>
    <row r="365" spans="1:11" x14ac:dyDescent="0.35">
      <c r="A365" s="20" t="s">
        <v>118</v>
      </c>
      <c r="B365" s="20" t="s">
        <v>163</v>
      </c>
      <c r="C365" s="20" t="s">
        <v>133</v>
      </c>
      <c r="D365" s="20" t="s">
        <v>711</v>
      </c>
      <c r="E365" s="20" t="s">
        <v>189</v>
      </c>
      <c r="F365" s="20" t="s">
        <v>712</v>
      </c>
      <c r="G365" s="20" t="s">
        <v>191</v>
      </c>
      <c r="H365" s="20">
        <v>1</v>
      </c>
      <c r="I365" s="20">
        <v>0</v>
      </c>
      <c r="J365" s="22">
        <f t="shared" si="12"/>
        <v>0</v>
      </c>
      <c r="K365" s="20">
        <f t="shared" si="13"/>
        <v>1</v>
      </c>
    </row>
    <row r="366" spans="1:11" x14ac:dyDescent="0.35">
      <c r="A366" s="20" t="s">
        <v>118</v>
      </c>
      <c r="B366" s="20" t="s">
        <v>163</v>
      </c>
      <c r="C366" s="20" t="s">
        <v>133</v>
      </c>
      <c r="D366" s="20" t="s">
        <v>713</v>
      </c>
      <c r="E366" s="20" t="s">
        <v>189</v>
      </c>
      <c r="F366" s="20" t="s">
        <v>714</v>
      </c>
      <c r="G366" s="20" t="s">
        <v>191</v>
      </c>
      <c r="H366" s="20">
        <v>1</v>
      </c>
      <c r="I366" s="20">
        <v>0</v>
      </c>
      <c r="J366" s="22">
        <f t="shared" si="12"/>
        <v>0</v>
      </c>
      <c r="K366" s="20">
        <f t="shared" si="13"/>
        <v>1</v>
      </c>
    </row>
    <row r="367" spans="1:11" x14ac:dyDescent="0.35">
      <c r="A367" s="20" t="s">
        <v>118</v>
      </c>
      <c r="B367" s="20" t="s">
        <v>163</v>
      </c>
      <c r="C367" s="20" t="s">
        <v>133</v>
      </c>
      <c r="D367" s="20" t="s">
        <v>713</v>
      </c>
      <c r="E367" s="20" t="s">
        <v>189</v>
      </c>
      <c r="F367" s="20" t="s">
        <v>715</v>
      </c>
      <c r="G367" s="20" t="s">
        <v>191</v>
      </c>
      <c r="H367" s="20">
        <v>1</v>
      </c>
      <c r="I367" s="20">
        <v>0</v>
      </c>
      <c r="J367" s="22">
        <f t="shared" si="12"/>
        <v>0</v>
      </c>
      <c r="K367" s="20">
        <f t="shared" si="13"/>
        <v>1</v>
      </c>
    </row>
    <row r="368" spans="1:11" x14ac:dyDescent="0.35">
      <c r="A368" s="20" t="s">
        <v>118</v>
      </c>
      <c r="B368" s="20" t="s">
        <v>163</v>
      </c>
      <c r="C368" s="20" t="s">
        <v>133</v>
      </c>
      <c r="D368" s="20" t="s">
        <v>716</v>
      </c>
      <c r="E368" s="20" t="s">
        <v>189</v>
      </c>
      <c r="F368" s="20" t="s">
        <v>717</v>
      </c>
      <c r="G368" s="20" t="s">
        <v>191</v>
      </c>
      <c r="H368" s="20">
        <v>1</v>
      </c>
      <c r="I368" s="20">
        <v>0</v>
      </c>
      <c r="J368" s="22">
        <f t="shared" si="12"/>
        <v>0</v>
      </c>
      <c r="K368" s="20">
        <f t="shared" si="13"/>
        <v>1</v>
      </c>
    </row>
    <row r="369" spans="1:11" x14ac:dyDescent="0.35">
      <c r="A369" s="20" t="s">
        <v>118</v>
      </c>
      <c r="B369" s="20" t="s">
        <v>163</v>
      </c>
      <c r="C369" s="20" t="s">
        <v>133</v>
      </c>
      <c r="D369" s="20" t="s">
        <v>661</v>
      </c>
      <c r="E369" s="20" t="s">
        <v>189</v>
      </c>
      <c r="F369" s="20" t="s">
        <v>718</v>
      </c>
      <c r="G369" s="20" t="s">
        <v>191</v>
      </c>
      <c r="H369" s="20">
        <v>1</v>
      </c>
      <c r="I369" s="20">
        <v>0</v>
      </c>
      <c r="J369" s="22">
        <f t="shared" si="12"/>
        <v>0</v>
      </c>
      <c r="K369" s="20">
        <f t="shared" si="13"/>
        <v>1</v>
      </c>
    </row>
    <row r="370" spans="1:11" x14ac:dyDescent="0.35">
      <c r="A370" s="20" t="s">
        <v>118</v>
      </c>
      <c r="B370" s="20" t="s">
        <v>163</v>
      </c>
      <c r="C370" s="20" t="s">
        <v>133</v>
      </c>
      <c r="D370" s="20" t="s">
        <v>719</v>
      </c>
      <c r="E370" s="20" t="s">
        <v>189</v>
      </c>
      <c r="F370" s="20" t="s">
        <v>720</v>
      </c>
      <c r="G370" s="20" t="s">
        <v>191</v>
      </c>
      <c r="H370" s="20">
        <v>1</v>
      </c>
      <c r="I370" s="20">
        <v>0</v>
      </c>
      <c r="J370" s="22">
        <f t="shared" si="12"/>
        <v>0</v>
      </c>
      <c r="K370" s="20">
        <f t="shared" si="13"/>
        <v>1</v>
      </c>
    </row>
    <row r="371" spans="1:11" x14ac:dyDescent="0.35">
      <c r="A371" s="20" t="s">
        <v>118</v>
      </c>
      <c r="B371" s="20" t="s">
        <v>163</v>
      </c>
      <c r="C371" s="20" t="s">
        <v>133</v>
      </c>
      <c r="D371" s="20" t="s">
        <v>721</v>
      </c>
      <c r="E371" s="20" t="s">
        <v>189</v>
      </c>
      <c r="F371" s="20" t="s">
        <v>722</v>
      </c>
      <c r="G371" s="20" t="s">
        <v>191</v>
      </c>
      <c r="H371" s="20">
        <v>1</v>
      </c>
      <c r="I371" s="20">
        <v>0</v>
      </c>
      <c r="J371" s="22">
        <f t="shared" si="12"/>
        <v>0</v>
      </c>
      <c r="K371" s="20">
        <f t="shared" si="13"/>
        <v>1</v>
      </c>
    </row>
    <row r="372" spans="1:11" x14ac:dyDescent="0.35">
      <c r="A372" s="20" t="s">
        <v>118</v>
      </c>
      <c r="B372" s="20" t="s">
        <v>163</v>
      </c>
      <c r="C372" s="20" t="s">
        <v>133</v>
      </c>
      <c r="D372" s="20" t="s">
        <v>723</v>
      </c>
      <c r="E372" s="20" t="s">
        <v>189</v>
      </c>
      <c r="F372" s="20" t="s">
        <v>724</v>
      </c>
      <c r="G372" s="20" t="s">
        <v>191</v>
      </c>
      <c r="H372" s="20">
        <v>1</v>
      </c>
      <c r="I372" s="20">
        <v>0</v>
      </c>
      <c r="J372" s="22">
        <f t="shared" si="12"/>
        <v>0</v>
      </c>
      <c r="K372" s="20">
        <f t="shared" si="13"/>
        <v>1</v>
      </c>
    </row>
    <row r="373" spans="1:11" x14ac:dyDescent="0.35">
      <c r="A373" s="20" t="s">
        <v>118</v>
      </c>
      <c r="B373" s="20" t="s">
        <v>163</v>
      </c>
      <c r="C373" s="20" t="s">
        <v>133</v>
      </c>
      <c r="D373" s="20" t="s">
        <v>723</v>
      </c>
      <c r="E373" s="20" t="s">
        <v>189</v>
      </c>
      <c r="F373" s="20" t="s">
        <v>725</v>
      </c>
      <c r="G373" s="20" t="s">
        <v>191</v>
      </c>
      <c r="H373" s="20">
        <v>1</v>
      </c>
      <c r="I373" s="20">
        <v>0</v>
      </c>
      <c r="J373" s="22">
        <f t="shared" si="12"/>
        <v>0</v>
      </c>
      <c r="K373" s="20">
        <f t="shared" si="13"/>
        <v>1</v>
      </c>
    </row>
    <row r="374" spans="1:11" x14ac:dyDescent="0.35">
      <c r="A374" s="20" t="s">
        <v>118</v>
      </c>
      <c r="B374" s="20" t="s">
        <v>163</v>
      </c>
      <c r="C374" s="20" t="s">
        <v>133</v>
      </c>
      <c r="D374" s="20" t="s">
        <v>726</v>
      </c>
      <c r="E374" s="20" t="s">
        <v>189</v>
      </c>
      <c r="F374" s="20" t="s">
        <v>727</v>
      </c>
      <c r="G374" s="20" t="s">
        <v>191</v>
      </c>
      <c r="H374" s="20">
        <v>1</v>
      </c>
      <c r="I374" s="20">
        <v>0</v>
      </c>
      <c r="J374" s="22">
        <f t="shared" si="12"/>
        <v>0</v>
      </c>
      <c r="K374" s="20">
        <f t="shared" si="13"/>
        <v>1</v>
      </c>
    </row>
    <row r="375" spans="1:11" x14ac:dyDescent="0.35">
      <c r="A375" s="20" t="s">
        <v>118</v>
      </c>
      <c r="B375" s="20" t="s">
        <v>163</v>
      </c>
      <c r="C375" s="20" t="s">
        <v>133</v>
      </c>
      <c r="D375" s="20" t="s">
        <v>691</v>
      </c>
      <c r="E375" s="20" t="s">
        <v>189</v>
      </c>
      <c r="F375" s="20" t="s">
        <v>728</v>
      </c>
      <c r="G375" s="20" t="s">
        <v>191</v>
      </c>
      <c r="H375" s="20">
        <v>1</v>
      </c>
      <c r="I375" s="20">
        <v>0</v>
      </c>
      <c r="J375" s="22">
        <f t="shared" si="12"/>
        <v>0</v>
      </c>
      <c r="K375" s="20">
        <f t="shared" si="13"/>
        <v>1</v>
      </c>
    </row>
    <row r="376" spans="1:11" x14ac:dyDescent="0.35">
      <c r="A376" s="20" t="s">
        <v>118</v>
      </c>
      <c r="B376" s="20" t="s">
        <v>163</v>
      </c>
      <c r="C376" s="20" t="s">
        <v>133</v>
      </c>
      <c r="D376" s="20" t="s">
        <v>709</v>
      </c>
      <c r="E376" s="20" t="s">
        <v>189</v>
      </c>
      <c r="F376" s="20" t="s">
        <v>729</v>
      </c>
      <c r="G376" s="20" t="s">
        <v>191</v>
      </c>
      <c r="H376" s="20">
        <v>1</v>
      </c>
      <c r="I376" s="20">
        <v>0</v>
      </c>
      <c r="J376" s="22">
        <f t="shared" si="12"/>
        <v>0</v>
      </c>
      <c r="K376" s="20">
        <f t="shared" si="13"/>
        <v>1</v>
      </c>
    </row>
    <row r="377" spans="1:11" x14ac:dyDescent="0.35">
      <c r="A377" s="20" t="s">
        <v>118</v>
      </c>
      <c r="B377" s="20" t="s">
        <v>163</v>
      </c>
      <c r="C377" s="20" t="s">
        <v>133</v>
      </c>
      <c r="D377" s="20" t="s">
        <v>730</v>
      </c>
      <c r="E377" s="20" t="s">
        <v>189</v>
      </c>
      <c r="F377" s="20" t="s">
        <v>731</v>
      </c>
      <c r="G377" s="20" t="s">
        <v>191</v>
      </c>
      <c r="H377" s="20">
        <v>1</v>
      </c>
      <c r="I377" s="20">
        <v>0</v>
      </c>
      <c r="J377" s="22">
        <f t="shared" si="12"/>
        <v>0</v>
      </c>
      <c r="K377" s="20">
        <f t="shared" si="13"/>
        <v>1</v>
      </c>
    </row>
    <row r="378" spans="1:11" x14ac:dyDescent="0.35">
      <c r="A378" s="20" t="s">
        <v>118</v>
      </c>
      <c r="B378" s="20" t="s">
        <v>163</v>
      </c>
      <c r="C378" s="20" t="s">
        <v>133</v>
      </c>
      <c r="D378" s="20" t="s">
        <v>732</v>
      </c>
      <c r="E378" s="20" t="s">
        <v>189</v>
      </c>
      <c r="F378" s="20" t="s">
        <v>733</v>
      </c>
      <c r="G378" s="20" t="s">
        <v>191</v>
      </c>
      <c r="H378" s="20">
        <v>1</v>
      </c>
      <c r="I378" s="20">
        <v>0</v>
      </c>
      <c r="J378" s="22">
        <f t="shared" si="12"/>
        <v>0</v>
      </c>
      <c r="K378" s="20">
        <f t="shared" si="13"/>
        <v>1</v>
      </c>
    </row>
    <row r="379" spans="1:11" x14ac:dyDescent="0.35">
      <c r="A379" s="20" t="s">
        <v>118</v>
      </c>
      <c r="B379" s="20" t="s">
        <v>163</v>
      </c>
      <c r="C379" s="20" t="s">
        <v>133</v>
      </c>
      <c r="D379" s="20" t="s">
        <v>691</v>
      </c>
      <c r="E379" s="20" t="s">
        <v>189</v>
      </c>
      <c r="F379" s="20" t="s">
        <v>734</v>
      </c>
      <c r="G379" s="20" t="s">
        <v>191</v>
      </c>
      <c r="H379" s="20">
        <v>1</v>
      </c>
      <c r="I379" s="20">
        <v>0</v>
      </c>
      <c r="J379" s="22">
        <f t="shared" si="12"/>
        <v>0</v>
      </c>
      <c r="K379" s="20">
        <f t="shared" si="13"/>
        <v>1</v>
      </c>
    </row>
    <row r="380" spans="1:11" x14ac:dyDescent="0.35">
      <c r="A380" s="20" t="s">
        <v>118</v>
      </c>
      <c r="B380" s="20" t="s">
        <v>163</v>
      </c>
      <c r="C380" s="20" t="s">
        <v>133</v>
      </c>
      <c r="D380" s="20" t="s">
        <v>732</v>
      </c>
      <c r="E380" s="20" t="s">
        <v>189</v>
      </c>
      <c r="F380" s="20" t="s">
        <v>735</v>
      </c>
      <c r="G380" s="20" t="s">
        <v>191</v>
      </c>
      <c r="H380" s="20">
        <v>1</v>
      </c>
      <c r="I380" s="20">
        <v>0</v>
      </c>
      <c r="J380" s="22">
        <f t="shared" si="12"/>
        <v>0</v>
      </c>
      <c r="K380" s="20">
        <f t="shared" si="13"/>
        <v>1</v>
      </c>
    </row>
    <row r="381" spans="1:11" x14ac:dyDescent="0.35">
      <c r="A381" s="20" t="s">
        <v>118</v>
      </c>
      <c r="B381" s="20" t="s">
        <v>163</v>
      </c>
      <c r="C381" s="20" t="s">
        <v>133</v>
      </c>
      <c r="D381" s="20" t="s">
        <v>736</v>
      </c>
      <c r="E381" s="20" t="s">
        <v>189</v>
      </c>
      <c r="F381" s="20" t="s">
        <v>737</v>
      </c>
      <c r="G381" s="20" t="s">
        <v>191</v>
      </c>
      <c r="H381" s="20">
        <v>1</v>
      </c>
      <c r="I381" s="20">
        <v>0</v>
      </c>
      <c r="J381" s="22">
        <f t="shared" si="12"/>
        <v>0</v>
      </c>
      <c r="K381" s="20">
        <f t="shared" si="13"/>
        <v>1</v>
      </c>
    </row>
    <row r="382" spans="1:11" x14ac:dyDescent="0.35">
      <c r="A382" s="20" t="s">
        <v>118</v>
      </c>
      <c r="B382" s="20" t="s">
        <v>163</v>
      </c>
      <c r="C382" s="20" t="s">
        <v>133</v>
      </c>
      <c r="D382" s="20" t="s">
        <v>738</v>
      </c>
      <c r="E382" s="20" t="s">
        <v>189</v>
      </c>
      <c r="F382" s="20" t="s">
        <v>739</v>
      </c>
      <c r="G382" s="20" t="s">
        <v>191</v>
      </c>
      <c r="H382" s="20">
        <v>1</v>
      </c>
      <c r="I382" s="20">
        <v>0</v>
      </c>
      <c r="J382" s="22">
        <f t="shared" si="12"/>
        <v>0</v>
      </c>
      <c r="K382" s="20">
        <f t="shared" si="13"/>
        <v>1</v>
      </c>
    </row>
    <row r="383" spans="1:11" x14ac:dyDescent="0.35">
      <c r="A383" s="20" t="s">
        <v>118</v>
      </c>
      <c r="B383" s="20" t="s">
        <v>163</v>
      </c>
      <c r="C383" s="20" t="s">
        <v>133</v>
      </c>
      <c r="D383" s="20" t="s">
        <v>740</v>
      </c>
      <c r="E383" s="20" t="s">
        <v>189</v>
      </c>
      <c r="F383" s="20" t="s">
        <v>741</v>
      </c>
      <c r="G383" s="20" t="s">
        <v>191</v>
      </c>
      <c r="H383" s="20">
        <v>1</v>
      </c>
      <c r="I383" s="20">
        <v>0</v>
      </c>
      <c r="J383" s="22">
        <f t="shared" si="12"/>
        <v>0</v>
      </c>
      <c r="K383" s="20">
        <f t="shared" si="13"/>
        <v>1</v>
      </c>
    </row>
    <row r="384" spans="1:11" x14ac:dyDescent="0.35">
      <c r="A384" s="20" t="s">
        <v>118</v>
      </c>
      <c r="B384" s="20" t="s">
        <v>163</v>
      </c>
      <c r="C384" s="20" t="s">
        <v>133</v>
      </c>
      <c r="D384" s="20" t="s">
        <v>742</v>
      </c>
      <c r="E384" s="20" t="s">
        <v>189</v>
      </c>
      <c r="F384" s="20" t="s">
        <v>743</v>
      </c>
      <c r="G384" s="20" t="s">
        <v>191</v>
      </c>
      <c r="H384" s="20">
        <v>1</v>
      </c>
      <c r="I384" s="20">
        <v>0</v>
      </c>
      <c r="J384" s="22">
        <f t="shared" si="12"/>
        <v>0</v>
      </c>
      <c r="K384" s="20">
        <f t="shared" si="13"/>
        <v>1</v>
      </c>
    </row>
    <row r="385" spans="1:11" x14ac:dyDescent="0.35">
      <c r="A385" s="20" t="s">
        <v>118</v>
      </c>
      <c r="B385" s="20" t="s">
        <v>163</v>
      </c>
      <c r="C385" s="20" t="s">
        <v>133</v>
      </c>
      <c r="D385" s="20" t="s">
        <v>744</v>
      </c>
      <c r="E385" s="20" t="s">
        <v>189</v>
      </c>
      <c r="F385" s="20" t="s">
        <v>745</v>
      </c>
      <c r="G385" s="20" t="s">
        <v>191</v>
      </c>
      <c r="H385" s="20">
        <v>1</v>
      </c>
      <c r="I385" s="20">
        <v>0</v>
      </c>
      <c r="J385" s="22">
        <f t="shared" si="12"/>
        <v>0</v>
      </c>
      <c r="K385" s="20">
        <f t="shared" si="13"/>
        <v>1</v>
      </c>
    </row>
    <row r="386" spans="1:11" x14ac:dyDescent="0.35">
      <c r="A386" s="20" t="s">
        <v>118</v>
      </c>
      <c r="B386" s="20" t="s">
        <v>163</v>
      </c>
      <c r="C386" s="20" t="s">
        <v>133</v>
      </c>
      <c r="D386" s="20" t="s">
        <v>744</v>
      </c>
      <c r="E386" s="20" t="s">
        <v>189</v>
      </c>
      <c r="F386" s="20" t="s">
        <v>746</v>
      </c>
      <c r="G386" s="20" t="s">
        <v>191</v>
      </c>
      <c r="H386" s="20">
        <v>1</v>
      </c>
      <c r="I386" s="20">
        <v>0</v>
      </c>
      <c r="J386" s="22">
        <f t="shared" si="12"/>
        <v>0</v>
      </c>
      <c r="K386" s="20">
        <f t="shared" si="13"/>
        <v>1</v>
      </c>
    </row>
    <row r="387" spans="1:11" x14ac:dyDescent="0.35">
      <c r="A387" s="20" t="s">
        <v>118</v>
      </c>
      <c r="B387" s="20" t="s">
        <v>163</v>
      </c>
      <c r="C387" s="20" t="s">
        <v>133</v>
      </c>
      <c r="D387" s="20" t="s">
        <v>747</v>
      </c>
      <c r="E387" s="20" t="s">
        <v>189</v>
      </c>
      <c r="F387" s="20" t="s">
        <v>748</v>
      </c>
      <c r="G387" s="20" t="s">
        <v>191</v>
      </c>
      <c r="H387" s="20">
        <v>1</v>
      </c>
      <c r="I387" s="20">
        <v>0</v>
      </c>
      <c r="J387" s="22">
        <f t="shared" si="12"/>
        <v>0</v>
      </c>
      <c r="K387" s="20">
        <f t="shared" si="13"/>
        <v>1</v>
      </c>
    </row>
    <row r="388" spans="1:11" x14ac:dyDescent="0.35">
      <c r="A388" s="20" t="s">
        <v>118</v>
      </c>
      <c r="B388" s="20" t="s">
        <v>163</v>
      </c>
      <c r="C388" s="20" t="s">
        <v>133</v>
      </c>
      <c r="D388" s="20" t="s">
        <v>749</v>
      </c>
      <c r="E388" s="20" t="s">
        <v>189</v>
      </c>
      <c r="F388" s="20" t="s">
        <v>750</v>
      </c>
      <c r="G388" s="20" t="s">
        <v>191</v>
      </c>
      <c r="H388" s="20">
        <v>1</v>
      </c>
      <c r="I388" s="20">
        <v>0</v>
      </c>
      <c r="J388" s="22">
        <f t="shared" si="12"/>
        <v>0</v>
      </c>
      <c r="K388" s="20">
        <f t="shared" si="13"/>
        <v>1</v>
      </c>
    </row>
    <row r="389" spans="1:11" x14ac:dyDescent="0.35">
      <c r="A389" s="20" t="s">
        <v>118</v>
      </c>
      <c r="B389" s="20" t="s">
        <v>163</v>
      </c>
      <c r="C389" s="20" t="s">
        <v>133</v>
      </c>
      <c r="D389" s="20" t="s">
        <v>751</v>
      </c>
      <c r="E389" s="20" t="s">
        <v>189</v>
      </c>
      <c r="F389" s="20" t="s">
        <v>752</v>
      </c>
      <c r="G389" s="20" t="s">
        <v>191</v>
      </c>
      <c r="H389" s="20">
        <v>1</v>
      </c>
      <c r="I389" s="20">
        <v>0</v>
      </c>
      <c r="J389" s="22">
        <f t="shared" si="12"/>
        <v>0</v>
      </c>
      <c r="K389" s="20">
        <f t="shared" si="13"/>
        <v>1</v>
      </c>
    </row>
    <row r="390" spans="1:11" x14ac:dyDescent="0.35">
      <c r="A390" s="20" t="s">
        <v>118</v>
      </c>
      <c r="B390" s="20" t="s">
        <v>163</v>
      </c>
      <c r="C390" s="20" t="s">
        <v>133</v>
      </c>
      <c r="D390" s="20" t="s">
        <v>753</v>
      </c>
      <c r="E390" s="20" t="s">
        <v>189</v>
      </c>
      <c r="F390" s="20" t="s">
        <v>754</v>
      </c>
      <c r="G390" s="20" t="s">
        <v>191</v>
      </c>
      <c r="H390" s="20">
        <v>1</v>
      </c>
      <c r="I390" s="20">
        <v>0</v>
      </c>
      <c r="J390" s="22">
        <f t="shared" si="12"/>
        <v>0</v>
      </c>
      <c r="K390" s="20">
        <f t="shared" si="13"/>
        <v>1</v>
      </c>
    </row>
    <row r="391" spans="1:11" x14ac:dyDescent="0.35">
      <c r="A391" s="20" t="s">
        <v>118</v>
      </c>
      <c r="B391" s="20" t="s">
        <v>163</v>
      </c>
      <c r="C391" s="20" t="s">
        <v>133</v>
      </c>
      <c r="D391" s="20" t="s">
        <v>755</v>
      </c>
      <c r="E391" s="20" t="s">
        <v>189</v>
      </c>
      <c r="F391" s="20" t="s">
        <v>756</v>
      </c>
      <c r="G391" s="20" t="s">
        <v>191</v>
      </c>
      <c r="H391" s="20">
        <v>1</v>
      </c>
      <c r="I391" s="20">
        <v>0</v>
      </c>
      <c r="J391" s="22">
        <f t="shared" si="12"/>
        <v>0</v>
      </c>
      <c r="K391" s="20">
        <f t="shared" si="13"/>
        <v>1</v>
      </c>
    </row>
    <row r="392" spans="1:11" x14ac:dyDescent="0.35">
      <c r="A392" s="20" t="s">
        <v>118</v>
      </c>
      <c r="B392" s="20" t="s">
        <v>163</v>
      </c>
      <c r="C392" s="20" t="s">
        <v>133</v>
      </c>
      <c r="D392" s="20" t="s">
        <v>757</v>
      </c>
      <c r="E392" s="20" t="s">
        <v>189</v>
      </c>
      <c r="F392" s="20" t="s">
        <v>758</v>
      </c>
      <c r="G392" s="20" t="s">
        <v>191</v>
      </c>
      <c r="H392" s="20">
        <v>1</v>
      </c>
      <c r="I392" s="20">
        <v>0</v>
      </c>
      <c r="J392" s="22">
        <f t="shared" si="12"/>
        <v>0</v>
      </c>
      <c r="K392" s="20">
        <f t="shared" si="13"/>
        <v>1</v>
      </c>
    </row>
    <row r="393" spans="1:11" x14ac:dyDescent="0.35">
      <c r="A393" s="20" t="s">
        <v>118</v>
      </c>
      <c r="B393" s="20" t="s">
        <v>163</v>
      </c>
      <c r="C393" s="20" t="s">
        <v>133</v>
      </c>
      <c r="D393" s="20" t="s">
        <v>759</v>
      </c>
      <c r="E393" s="20" t="s">
        <v>189</v>
      </c>
      <c r="F393" s="20" t="s">
        <v>760</v>
      </c>
      <c r="G393" s="20" t="s">
        <v>191</v>
      </c>
      <c r="H393" s="20">
        <v>1</v>
      </c>
      <c r="I393" s="20">
        <v>0</v>
      </c>
      <c r="J393" s="22">
        <f t="shared" si="12"/>
        <v>0</v>
      </c>
      <c r="K393" s="20">
        <f t="shared" si="13"/>
        <v>1</v>
      </c>
    </row>
    <row r="394" spans="1:11" x14ac:dyDescent="0.35">
      <c r="A394" s="20" t="s">
        <v>118</v>
      </c>
      <c r="B394" s="20" t="s">
        <v>163</v>
      </c>
      <c r="C394" s="20" t="s">
        <v>133</v>
      </c>
      <c r="D394" s="20" t="s">
        <v>761</v>
      </c>
      <c r="E394" s="20" t="s">
        <v>189</v>
      </c>
      <c r="F394" s="20" t="s">
        <v>762</v>
      </c>
      <c r="G394" s="20" t="s">
        <v>191</v>
      </c>
      <c r="H394" s="20">
        <v>1</v>
      </c>
      <c r="I394" s="20">
        <v>0</v>
      </c>
      <c r="J394" s="22">
        <f t="shared" si="12"/>
        <v>0</v>
      </c>
      <c r="K394" s="20">
        <f t="shared" si="13"/>
        <v>1</v>
      </c>
    </row>
    <row r="395" spans="1:11" ht="16.5" customHeight="1" x14ac:dyDescent="0.35">
      <c r="A395" s="20" t="s">
        <v>118</v>
      </c>
      <c r="B395" s="20" t="s">
        <v>163</v>
      </c>
      <c r="C395" s="20" t="s">
        <v>133</v>
      </c>
      <c r="D395" s="20" t="s">
        <v>763</v>
      </c>
      <c r="E395" s="20" t="s">
        <v>189</v>
      </c>
      <c r="F395" s="20" t="s">
        <v>764</v>
      </c>
      <c r="G395" s="20" t="s">
        <v>191</v>
      </c>
      <c r="H395" s="20">
        <v>1</v>
      </c>
      <c r="I395" s="20">
        <v>0</v>
      </c>
      <c r="J395" s="22">
        <f t="shared" si="12"/>
        <v>0</v>
      </c>
      <c r="K395" s="20">
        <f t="shared" si="13"/>
        <v>1</v>
      </c>
    </row>
    <row r="396" spans="1:11" x14ac:dyDescent="0.35">
      <c r="A396" s="20" t="s">
        <v>118</v>
      </c>
      <c r="B396" s="20" t="s">
        <v>163</v>
      </c>
      <c r="C396" s="20" t="s">
        <v>133</v>
      </c>
      <c r="D396" s="20" t="s">
        <v>765</v>
      </c>
      <c r="E396" s="20" t="s">
        <v>189</v>
      </c>
      <c r="F396" s="20" t="s">
        <v>766</v>
      </c>
      <c r="G396" s="20" t="s">
        <v>191</v>
      </c>
      <c r="H396" s="20">
        <v>1</v>
      </c>
      <c r="I396" s="20">
        <v>0</v>
      </c>
      <c r="J396" s="22">
        <f t="shared" si="12"/>
        <v>0</v>
      </c>
      <c r="K396" s="20">
        <f t="shared" si="13"/>
        <v>1</v>
      </c>
    </row>
    <row r="397" spans="1:11" x14ac:dyDescent="0.35">
      <c r="A397" s="20" t="s">
        <v>118</v>
      </c>
      <c r="B397" s="20" t="s">
        <v>163</v>
      </c>
      <c r="C397" s="20" t="s">
        <v>133</v>
      </c>
      <c r="D397" s="20" t="s">
        <v>765</v>
      </c>
      <c r="E397" s="20" t="s">
        <v>189</v>
      </c>
      <c r="F397" s="20" t="s">
        <v>767</v>
      </c>
      <c r="G397" s="20" t="s">
        <v>191</v>
      </c>
      <c r="H397" s="20">
        <v>1</v>
      </c>
      <c r="I397" s="20">
        <v>0</v>
      </c>
      <c r="J397" s="22">
        <f t="shared" si="12"/>
        <v>0</v>
      </c>
      <c r="K397" s="20">
        <f t="shared" si="13"/>
        <v>1</v>
      </c>
    </row>
    <row r="398" spans="1:11" x14ac:dyDescent="0.35">
      <c r="A398" s="20" t="s">
        <v>118</v>
      </c>
      <c r="B398" s="20" t="s">
        <v>163</v>
      </c>
      <c r="C398" s="20" t="s">
        <v>133</v>
      </c>
      <c r="D398" s="20" t="s">
        <v>768</v>
      </c>
      <c r="E398" s="20" t="s">
        <v>189</v>
      </c>
      <c r="F398" s="20" t="s">
        <v>769</v>
      </c>
      <c r="G398" s="20" t="s">
        <v>191</v>
      </c>
      <c r="H398" s="20">
        <v>1</v>
      </c>
      <c r="I398" s="20">
        <v>0</v>
      </c>
      <c r="J398" s="22">
        <f t="shared" si="12"/>
        <v>0</v>
      </c>
      <c r="K398" s="20">
        <f t="shared" si="13"/>
        <v>1</v>
      </c>
    </row>
    <row r="399" spans="1:11" x14ac:dyDescent="0.35">
      <c r="A399" s="20" t="s">
        <v>118</v>
      </c>
      <c r="B399" s="20" t="s">
        <v>163</v>
      </c>
      <c r="C399" s="20" t="s">
        <v>133</v>
      </c>
      <c r="D399" s="20" t="s">
        <v>770</v>
      </c>
      <c r="E399" s="20" t="s">
        <v>189</v>
      </c>
      <c r="F399" s="20" t="s">
        <v>771</v>
      </c>
      <c r="G399" s="20" t="s">
        <v>191</v>
      </c>
      <c r="H399" s="20">
        <v>1</v>
      </c>
      <c r="I399" s="20">
        <v>0</v>
      </c>
      <c r="J399" s="22">
        <f t="shared" si="12"/>
        <v>0</v>
      </c>
      <c r="K399" s="20">
        <f t="shared" si="13"/>
        <v>1</v>
      </c>
    </row>
    <row r="400" spans="1:11" x14ac:dyDescent="0.35">
      <c r="A400" s="20" t="s">
        <v>118</v>
      </c>
      <c r="B400" s="20" t="s">
        <v>163</v>
      </c>
      <c r="C400" s="20" t="s">
        <v>133</v>
      </c>
      <c r="D400" s="20" t="s">
        <v>772</v>
      </c>
      <c r="E400" s="20" t="s">
        <v>189</v>
      </c>
      <c r="F400" s="20" t="s">
        <v>773</v>
      </c>
      <c r="G400" s="20" t="s">
        <v>191</v>
      </c>
      <c r="H400" s="20">
        <v>1</v>
      </c>
      <c r="I400" s="20">
        <v>0</v>
      </c>
      <c r="J400" s="22">
        <f t="shared" si="12"/>
        <v>0</v>
      </c>
      <c r="K400" s="20">
        <f t="shared" si="13"/>
        <v>1</v>
      </c>
    </row>
    <row r="401" spans="1:11" x14ac:dyDescent="0.35">
      <c r="A401" s="20" t="s">
        <v>118</v>
      </c>
      <c r="B401" s="20" t="s">
        <v>163</v>
      </c>
      <c r="C401" s="20" t="s">
        <v>133</v>
      </c>
      <c r="D401" s="20" t="s">
        <v>774</v>
      </c>
      <c r="E401" s="20" t="s">
        <v>189</v>
      </c>
      <c r="F401" s="20" t="s">
        <v>775</v>
      </c>
      <c r="G401" s="20" t="s">
        <v>191</v>
      </c>
      <c r="H401" s="20">
        <v>1</v>
      </c>
      <c r="I401" s="20">
        <v>0</v>
      </c>
      <c r="J401" s="22">
        <f t="shared" si="12"/>
        <v>0</v>
      </c>
      <c r="K401" s="20">
        <f t="shared" si="13"/>
        <v>1</v>
      </c>
    </row>
    <row r="402" spans="1:11" x14ac:dyDescent="0.35">
      <c r="A402" s="20" t="s">
        <v>118</v>
      </c>
      <c r="B402" s="20" t="s">
        <v>163</v>
      </c>
      <c r="C402" s="20" t="s">
        <v>133</v>
      </c>
      <c r="D402" s="20" t="s">
        <v>776</v>
      </c>
      <c r="E402" s="20" t="s">
        <v>189</v>
      </c>
      <c r="F402" s="20" t="s">
        <v>777</v>
      </c>
      <c r="G402" s="20" t="s">
        <v>191</v>
      </c>
      <c r="H402" s="20">
        <v>1</v>
      </c>
      <c r="I402" s="20">
        <v>0</v>
      </c>
      <c r="J402" s="22">
        <f t="shared" si="12"/>
        <v>0</v>
      </c>
      <c r="K402" s="20">
        <f t="shared" si="13"/>
        <v>1</v>
      </c>
    </row>
    <row r="403" spans="1:11" x14ac:dyDescent="0.35">
      <c r="A403" s="20" t="s">
        <v>118</v>
      </c>
      <c r="B403" s="20" t="s">
        <v>163</v>
      </c>
      <c r="C403" s="20" t="s">
        <v>133</v>
      </c>
      <c r="D403" s="20" t="s">
        <v>716</v>
      </c>
      <c r="E403" s="20" t="s">
        <v>189</v>
      </c>
      <c r="F403" s="20" t="s">
        <v>778</v>
      </c>
      <c r="G403" s="20" t="s">
        <v>191</v>
      </c>
      <c r="H403" s="20">
        <v>1</v>
      </c>
      <c r="I403" s="20">
        <v>0</v>
      </c>
      <c r="J403" s="22">
        <f t="shared" si="12"/>
        <v>0</v>
      </c>
      <c r="K403" s="20">
        <f t="shared" si="13"/>
        <v>1</v>
      </c>
    </row>
    <row r="404" spans="1:11" x14ac:dyDescent="0.35">
      <c r="A404" s="20" t="s">
        <v>118</v>
      </c>
      <c r="B404" s="20" t="s">
        <v>163</v>
      </c>
      <c r="C404" s="20" t="s">
        <v>133</v>
      </c>
      <c r="D404" s="20" t="s">
        <v>716</v>
      </c>
      <c r="E404" s="20" t="s">
        <v>189</v>
      </c>
      <c r="F404" s="20" t="s">
        <v>779</v>
      </c>
      <c r="G404" s="20" t="s">
        <v>191</v>
      </c>
      <c r="H404" s="20">
        <v>1</v>
      </c>
      <c r="I404" s="20">
        <v>0</v>
      </c>
      <c r="J404" s="22">
        <f t="shared" si="12"/>
        <v>0</v>
      </c>
      <c r="K404" s="20">
        <f t="shared" si="13"/>
        <v>1</v>
      </c>
    </row>
    <row r="405" spans="1:11" x14ac:dyDescent="0.35">
      <c r="A405" s="20" t="s">
        <v>118</v>
      </c>
      <c r="B405" s="20" t="s">
        <v>163</v>
      </c>
      <c r="C405" s="20" t="s">
        <v>133</v>
      </c>
      <c r="D405" s="20" t="s">
        <v>780</v>
      </c>
      <c r="E405" s="20" t="s">
        <v>189</v>
      </c>
      <c r="F405" s="20" t="s">
        <v>781</v>
      </c>
      <c r="G405" s="20" t="s">
        <v>191</v>
      </c>
      <c r="H405" s="20">
        <v>1</v>
      </c>
      <c r="I405" s="20">
        <v>0</v>
      </c>
      <c r="J405" s="22">
        <f t="shared" si="12"/>
        <v>0</v>
      </c>
      <c r="K405" s="20">
        <f t="shared" si="13"/>
        <v>1</v>
      </c>
    </row>
    <row r="406" spans="1:11" x14ac:dyDescent="0.35">
      <c r="A406" s="20" t="s">
        <v>118</v>
      </c>
      <c r="B406" s="20" t="s">
        <v>163</v>
      </c>
      <c r="C406" s="20" t="s">
        <v>133</v>
      </c>
      <c r="D406" s="20" t="s">
        <v>707</v>
      </c>
      <c r="E406" s="20" t="s">
        <v>189</v>
      </c>
      <c r="F406" s="20" t="s">
        <v>782</v>
      </c>
      <c r="G406" s="20" t="s">
        <v>191</v>
      </c>
      <c r="H406" s="20">
        <v>1</v>
      </c>
      <c r="I406" s="20">
        <v>0</v>
      </c>
      <c r="J406" s="22">
        <f t="shared" si="12"/>
        <v>0</v>
      </c>
      <c r="K406" s="20">
        <f t="shared" si="13"/>
        <v>1</v>
      </c>
    </row>
    <row r="407" spans="1:11" x14ac:dyDescent="0.35">
      <c r="A407" s="20" t="s">
        <v>118</v>
      </c>
      <c r="B407" s="20" t="s">
        <v>163</v>
      </c>
      <c r="C407" s="20" t="s">
        <v>133</v>
      </c>
      <c r="D407" s="20" t="s">
        <v>783</v>
      </c>
      <c r="E407" s="20" t="s">
        <v>189</v>
      </c>
      <c r="F407" s="20" t="s">
        <v>784</v>
      </c>
      <c r="G407" s="20" t="s">
        <v>191</v>
      </c>
      <c r="H407" s="20">
        <v>1</v>
      </c>
      <c r="I407" s="20">
        <v>0</v>
      </c>
      <c r="J407" s="22">
        <f t="shared" si="12"/>
        <v>0</v>
      </c>
      <c r="K407" s="20">
        <f t="shared" si="13"/>
        <v>1</v>
      </c>
    </row>
    <row r="408" spans="1:11" x14ac:dyDescent="0.35">
      <c r="A408" s="20" t="s">
        <v>118</v>
      </c>
      <c r="B408" s="20" t="s">
        <v>163</v>
      </c>
      <c r="C408" s="20" t="s">
        <v>133</v>
      </c>
      <c r="D408" s="20" t="s">
        <v>785</v>
      </c>
      <c r="E408" s="20" t="s">
        <v>189</v>
      </c>
      <c r="F408" s="20" t="s">
        <v>786</v>
      </c>
      <c r="G408" s="20" t="s">
        <v>191</v>
      </c>
      <c r="H408" s="20">
        <v>1</v>
      </c>
      <c r="I408" s="20">
        <v>0</v>
      </c>
      <c r="J408" s="22">
        <f t="shared" si="12"/>
        <v>0</v>
      </c>
      <c r="K408" s="20">
        <f t="shared" si="13"/>
        <v>1</v>
      </c>
    </row>
    <row r="409" spans="1:11" x14ac:dyDescent="0.35">
      <c r="A409" s="20" t="s">
        <v>118</v>
      </c>
      <c r="B409" s="20" t="s">
        <v>163</v>
      </c>
      <c r="C409" s="20" t="s">
        <v>133</v>
      </c>
      <c r="D409" s="20" t="s">
        <v>785</v>
      </c>
      <c r="E409" s="20" t="s">
        <v>189</v>
      </c>
      <c r="F409" s="20" t="s">
        <v>787</v>
      </c>
      <c r="G409" s="20" t="s">
        <v>191</v>
      </c>
      <c r="H409" s="20">
        <v>1</v>
      </c>
      <c r="I409" s="20">
        <v>0</v>
      </c>
      <c r="J409" s="22">
        <f t="shared" si="12"/>
        <v>0</v>
      </c>
      <c r="K409" s="20">
        <f t="shared" si="13"/>
        <v>1</v>
      </c>
    </row>
    <row r="410" spans="1:11" x14ac:dyDescent="0.35">
      <c r="A410" s="20" t="s">
        <v>118</v>
      </c>
      <c r="B410" s="20" t="s">
        <v>163</v>
      </c>
      <c r="C410" s="20" t="s">
        <v>133</v>
      </c>
      <c r="D410" s="20" t="s">
        <v>785</v>
      </c>
      <c r="E410" s="20" t="s">
        <v>189</v>
      </c>
      <c r="F410" s="20" t="s">
        <v>788</v>
      </c>
      <c r="G410" s="20" t="s">
        <v>191</v>
      </c>
      <c r="H410" s="20">
        <v>1</v>
      </c>
      <c r="I410" s="20">
        <v>0</v>
      </c>
      <c r="J410" s="22">
        <f t="shared" si="12"/>
        <v>0</v>
      </c>
      <c r="K410" s="20">
        <f t="shared" si="13"/>
        <v>1</v>
      </c>
    </row>
    <row r="411" spans="1:11" x14ac:dyDescent="0.35">
      <c r="A411" s="20" t="s">
        <v>118</v>
      </c>
      <c r="B411" s="20" t="s">
        <v>163</v>
      </c>
      <c r="C411" s="20" t="s">
        <v>133</v>
      </c>
      <c r="D411" s="20" t="s">
        <v>789</v>
      </c>
      <c r="E411" s="20" t="s">
        <v>189</v>
      </c>
      <c r="F411" s="20" t="s">
        <v>790</v>
      </c>
      <c r="G411" s="20" t="s">
        <v>191</v>
      </c>
      <c r="H411" s="20">
        <v>1</v>
      </c>
      <c r="I411" s="20">
        <v>0</v>
      </c>
      <c r="J411" s="22">
        <f t="shared" si="12"/>
        <v>0</v>
      </c>
      <c r="K411" s="20">
        <f t="shared" si="13"/>
        <v>1</v>
      </c>
    </row>
    <row r="412" spans="1:11" x14ac:dyDescent="0.35">
      <c r="A412" s="20" t="s">
        <v>118</v>
      </c>
      <c r="B412" s="20" t="s">
        <v>163</v>
      </c>
      <c r="C412" s="20" t="s">
        <v>133</v>
      </c>
      <c r="D412" s="20" t="s">
        <v>791</v>
      </c>
      <c r="E412" s="20" t="s">
        <v>189</v>
      </c>
      <c r="F412" s="20" t="s">
        <v>792</v>
      </c>
      <c r="G412" s="20" t="s">
        <v>191</v>
      </c>
      <c r="H412" s="20">
        <v>1</v>
      </c>
      <c r="I412" s="20">
        <v>0</v>
      </c>
      <c r="J412" s="22">
        <f t="shared" si="12"/>
        <v>0</v>
      </c>
      <c r="K412" s="20">
        <f t="shared" si="13"/>
        <v>1</v>
      </c>
    </row>
    <row r="413" spans="1:11" x14ac:dyDescent="0.35">
      <c r="A413" s="20" t="s">
        <v>118</v>
      </c>
      <c r="B413" s="20" t="s">
        <v>163</v>
      </c>
      <c r="C413" s="20" t="s">
        <v>133</v>
      </c>
      <c r="D413" s="20" t="s">
        <v>793</v>
      </c>
      <c r="E413" s="20" t="s">
        <v>189</v>
      </c>
      <c r="F413" s="20" t="s">
        <v>794</v>
      </c>
      <c r="G413" s="20" t="s">
        <v>191</v>
      </c>
      <c r="H413" s="20">
        <v>1</v>
      </c>
      <c r="I413" s="20">
        <v>0</v>
      </c>
      <c r="J413" s="22">
        <f t="shared" si="12"/>
        <v>0</v>
      </c>
      <c r="K413" s="20">
        <f t="shared" si="13"/>
        <v>1</v>
      </c>
    </row>
    <row r="414" spans="1:11" x14ac:dyDescent="0.35">
      <c r="A414" s="20" t="s">
        <v>118</v>
      </c>
      <c r="B414" s="20" t="s">
        <v>163</v>
      </c>
      <c r="C414" s="20" t="s">
        <v>133</v>
      </c>
      <c r="D414" s="20" t="s">
        <v>795</v>
      </c>
      <c r="E414" s="20" t="s">
        <v>189</v>
      </c>
      <c r="F414" s="20" t="s">
        <v>796</v>
      </c>
      <c r="G414" s="20" t="s">
        <v>191</v>
      </c>
      <c r="H414" s="20">
        <v>1</v>
      </c>
      <c r="I414" s="20">
        <v>0</v>
      </c>
      <c r="J414" s="22">
        <f t="shared" si="12"/>
        <v>0</v>
      </c>
      <c r="K414" s="20">
        <f t="shared" si="13"/>
        <v>1</v>
      </c>
    </row>
    <row r="415" spans="1:11" x14ac:dyDescent="0.35">
      <c r="A415" s="20" t="s">
        <v>118</v>
      </c>
      <c r="B415" s="20" t="s">
        <v>163</v>
      </c>
      <c r="C415" s="20" t="s">
        <v>133</v>
      </c>
      <c r="D415" s="20" t="s">
        <v>797</v>
      </c>
      <c r="E415" s="20" t="s">
        <v>189</v>
      </c>
      <c r="F415" s="20" t="s">
        <v>798</v>
      </c>
      <c r="G415" s="20" t="s">
        <v>191</v>
      </c>
      <c r="H415" s="20">
        <v>1</v>
      </c>
      <c r="I415" s="20">
        <v>0</v>
      </c>
      <c r="J415" s="22">
        <f t="shared" si="12"/>
        <v>0</v>
      </c>
      <c r="K415" s="20">
        <f t="shared" si="13"/>
        <v>1</v>
      </c>
    </row>
    <row r="416" spans="1:11" x14ac:dyDescent="0.35">
      <c r="A416" s="20" t="s">
        <v>118</v>
      </c>
      <c r="B416" s="20" t="s">
        <v>163</v>
      </c>
      <c r="C416" s="20" t="s">
        <v>133</v>
      </c>
      <c r="D416" s="20" t="s">
        <v>799</v>
      </c>
      <c r="E416" s="20" t="s">
        <v>189</v>
      </c>
      <c r="F416" s="20" t="s">
        <v>800</v>
      </c>
      <c r="G416" s="20" t="s">
        <v>191</v>
      </c>
      <c r="H416" s="20">
        <v>1</v>
      </c>
      <c r="I416" s="20">
        <v>0</v>
      </c>
      <c r="J416" s="22">
        <f t="shared" si="12"/>
        <v>0</v>
      </c>
      <c r="K416" s="20">
        <f t="shared" si="13"/>
        <v>1</v>
      </c>
    </row>
    <row r="417" spans="1:11" x14ac:dyDescent="0.35">
      <c r="A417" s="20" t="s">
        <v>118</v>
      </c>
      <c r="B417" s="20" t="s">
        <v>163</v>
      </c>
      <c r="C417" s="20" t="s">
        <v>133</v>
      </c>
      <c r="D417" s="20" t="s">
        <v>801</v>
      </c>
      <c r="E417" s="20" t="s">
        <v>189</v>
      </c>
      <c r="F417" s="20" t="s">
        <v>802</v>
      </c>
      <c r="G417" s="20" t="s">
        <v>191</v>
      </c>
      <c r="H417" s="20">
        <v>1</v>
      </c>
      <c r="I417" s="20">
        <v>0</v>
      </c>
      <c r="J417" s="22">
        <f t="shared" si="12"/>
        <v>0</v>
      </c>
      <c r="K417" s="20">
        <f t="shared" si="13"/>
        <v>1</v>
      </c>
    </row>
    <row r="418" spans="1:11" x14ac:dyDescent="0.35">
      <c r="A418" s="20" t="s">
        <v>118</v>
      </c>
      <c r="B418" s="20" t="s">
        <v>163</v>
      </c>
      <c r="C418" s="20" t="s">
        <v>133</v>
      </c>
      <c r="D418" s="20" t="s">
        <v>801</v>
      </c>
      <c r="E418" s="20" t="s">
        <v>189</v>
      </c>
      <c r="F418" s="20" t="s">
        <v>803</v>
      </c>
      <c r="G418" s="20" t="s">
        <v>191</v>
      </c>
      <c r="H418" s="20">
        <v>1</v>
      </c>
      <c r="I418" s="20">
        <v>0</v>
      </c>
      <c r="J418" s="22">
        <f t="shared" si="12"/>
        <v>0</v>
      </c>
      <c r="K418" s="20">
        <f t="shared" si="13"/>
        <v>1</v>
      </c>
    </row>
    <row r="419" spans="1:11" x14ac:dyDescent="0.35">
      <c r="A419" s="20" t="s">
        <v>118</v>
      </c>
      <c r="B419" s="20" t="s">
        <v>163</v>
      </c>
      <c r="C419" s="20" t="s">
        <v>133</v>
      </c>
      <c r="D419" s="20" t="s">
        <v>801</v>
      </c>
      <c r="E419" s="20" t="s">
        <v>189</v>
      </c>
      <c r="F419" s="20" t="s">
        <v>804</v>
      </c>
      <c r="G419" s="20" t="s">
        <v>191</v>
      </c>
      <c r="H419" s="20">
        <v>1</v>
      </c>
      <c r="I419" s="20">
        <v>0</v>
      </c>
      <c r="J419" s="22">
        <f t="shared" si="12"/>
        <v>0</v>
      </c>
      <c r="K419" s="20">
        <f t="shared" si="13"/>
        <v>1</v>
      </c>
    </row>
    <row r="420" spans="1:11" x14ac:dyDescent="0.35">
      <c r="A420" s="20" t="s">
        <v>118</v>
      </c>
      <c r="B420" s="20" t="s">
        <v>163</v>
      </c>
      <c r="C420" s="20" t="s">
        <v>133</v>
      </c>
      <c r="D420" s="20" t="s">
        <v>801</v>
      </c>
      <c r="E420" s="20" t="s">
        <v>189</v>
      </c>
      <c r="F420" s="20" t="s">
        <v>805</v>
      </c>
      <c r="G420" s="20" t="s">
        <v>191</v>
      </c>
      <c r="H420" s="20">
        <v>1</v>
      </c>
      <c r="I420" s="20">
        <v>0</v>
      </c>
      <c r="J420" s="22">
        <f t="shared" ref="J420:J483" si="14">IFERROR(I420/H420,0)</f>
        <v>0</v>
      </c>
      <c r="K420" s="20">
        <f t="shared" ref="K420:K483" si="15">H420-I420</f>
        <v>1</v>
      </c>
    </row>
    <row r="421" spans="1:11" x14ac:dyDescent="0.35">
      <c r="A421" s="20" t="s">
        <v>118</v>
      </c>
      <c r="B421" s="20" t="s">
        <v>163</v>
      </c>
      <c r="C421" s="20" t="s">
        <v>133</v>
      </c>
      <c r="D421" s="20" t="s">
        <v>801</v>
      </c>
      <c r="E421" s="20" t="s">
        <v>189</v>
      </c>
      <c r="F421" s="20" t="s">
        <v>806</v>
      </c>
      <c r="G421" s="20" t="s">
        <v>191</v>
      </c>
      <c r="H421" s="20">
        <v>1</v>
      </c>
      <c r="I421" s="20">
        <v>0</v>
      </c>
      <c r="J421" s="22">
        <f t="shared" si="14"/>
        <v>0</v>
      </c>
      <c r="K421" s="20">
        <f t="shared" si="15"/>
        <v>1</v>
      </c>
    </row>
    <row r="422" spans="1:11" x14ac:dyDescent="0.35">
      <c r="A422" s="20" t="s">
        <v>118</v>
      </c>
      <c r="B422" s="20" t="s">
        <v>163</v>
      </c>
      <c r="C422" s="20" t="s">
        <v>133</v>
      </c>
      <c r="D422" s="20" t="s">
        <v>801</v>
      </c>
      <c r="E422" s="20" t="s">
        <v>189</v>
      </c>
      <c r="F422" s="20" t="s">
        <v>807</v>
      </c>
      <c r="G422" s="20" t="s">
        <v>191</v>
      </c>
      <c r="H422" s="20">
        <v>1</v>
      </c>
      <c r="I422" s="20">
        <v>0</v>
      </c>
      <c r="J422" s="22">
        <f t="shared" si="14"/>
        <v>0</v>
      </c>
      <c r="K422" s="20">
        <f t="shared" si="15"/>
        <v>1</v>
      </c>
    </row>
    <row r="423" spans="1:11" x14ac:dyDescent="0.35">
      <c r="A423" s="20" t="s">
        <v>118</v>
      </c>
      <c r="B423" s="20" t="s">
        <v>163</v>
      </c>
      <c r="C423" s="20" t="s">
        <v>133</v>
      </c>
      <c r="D423" s="20" t="s">
        <v>808</v>
      </c>
      <c r="E423" s="20" t="s">
        <v>189</v>
      </c>
      <c r="F423" s="20" t="s">
        <v>809</v>
      </c>
      <c r="G423" s="20" t="s">
        <v>191</v>
      </c>
      <c r="H423" s="20">
        <v>1</v>
      </c>
      <c r="I423" s="20">
        <v>0</v>
      </c>
      <c r="J423" s="22">
        <f t="shared" si="14"/>
        <v>0</v>
      </c>
      <c r="K423" s="20">
        <f t="shared" si="15"/>
        <v>1</v>
      </c>
    </row>
    <row r="424" spans="1:11" x14ac:dyDescent="0.35">
      <c r="A424" s="20" t="s">
        <v>118</v>
      </c>
      <c r="B424" s="20" t="s">
        <v>163</v>
      </c>
      <c r="C424" s="20" t="s">
        <v>133</v>
      </c>
      <c r="D424" s="20" t="s">
        <v>810</v>
      </c>
      <c r="E424" s="20" t="s">
        <v>189</v>
      </c>
      <c r="F424" s="20" t="s">
        <v>811</v>
      </c>
      <c r="G424" s="20" t="s">
        <v>191</v>
      </c>
      <c r="H424" s="20">
        <v>1</v>
      </c>
      <c r="I424" s="20">
        <v>0</v>
      </c>
      <c r="J424" s="22">
        <f t="shared" si="14"/>
        <v>0</v>
      </c>
      <c r="K424" s="20">
        <f t="shared" si="15"/>
        <v>1</v>
      </c>
    </row>
    <row r="425" spans="1:11" x14ac:dyDescent="0.35">
      <c r="A425" s="20" t="s">
        <v>118</v>
      </c>
      <c r="B425" s="20" t="s">
        <v>163</v>
      </c>
      <c r="C425" s="20" t="s">
        <v>133</v>
      </c>
      <c r="D425" s="20" t="s">
        <v>812</v>
      </c>
      <c r="E425" s="20" t="s">
        <v>189</v>
      </c>
      <c r="F425" s="20" t="s">
        <v>813</v>
      </c>
      <c r="G425" s="20" t="s">
        <v>191</v>
      </c>
      <c r="H425" s="20">
        <v>1</v>
      </c>
      <c r="I425" s="20">
        <v>0</v>
      </c>
      <c r="J425" s="22">
        <f t="shared" si="14"/>
        <v>0</v>
      </c>
      <c r="K425" s="20">
        <f t="shared" si="15"/>
        <v>1</v>
      </c>
    </row>
    <row r="426" spans="1:11" x14ac:dyDescent="0.35">
      <c r="A426" s="20" t="s">
        <v>118</v>
      </c>
      <c r="B426" s="20" t="s">
        <v>163</v>
      </c>
      <c r="C426" s="20" t="s">
        <v>133</v>
      </c>
      <c r="D426" s="20" t="s">
        <v>814</v>
      </c>
      <c r="E426" s="20" t="s">
        <v>189</v>
      </c>
      <c r="F426" s="20" t="s">
        <v>815</v>
      </c>
      <c r="G426" s="20" t="s">
        <v>191</v>
      </c>
      <c r="H426" s="20">
        <v>1</v>
      </c>
      <c r="I426" s="20">
        <v>0</v>
      </c>
      <c r="J426" s="22">
        <f t="shared" si="14"/>
        <v>0</v>
      </c>
      <c r="K426" s="20">
        <f t="shared" si="15"/>
        <v>1</v>
      </c>
    </row>
    <row r="427" spans="1:11" x14ac:dyDescent="0.35">
      <c r="A427" s="20" t="s">
        <v>118</v>
      </c>
      <c r="B427" s="20" t="s">
        <v>163</v>
      </c>
      <c r="C427" s="20" t="s">
        <v>133</v>
      </c>
      <c r="D427" s="20" t="s">
        <v>814</v>
      </c>
      <c r="E427" s="20" t="s">
        <v>189</v>
      </c>
      <c r="F427" s="20" t="s">
        <v>816</v>
      </c>
      <c r="G427" s="20" t="s">
        <v>191</v>
      </c>
      <c r="H427" s="20">
        <v>1</v>
      </c>
      <c r="I427" s="20">
        <v>0</v>
      </c>
      <c r="J427" s="22">
        <f t="shared" si="14"/>
        <v>0</v>
      </c>
      <c r="K427" s="20">
        <f t="shared" si="15"/>
        <v>1</v>
      </c>
    </row>
    <row r="428" spans="1:11" x14ac:dyDescent="0.35">
      <c r="A428" s="20" t="s">
        <v>118</v>
      </c>
      <c r="B428" s="20" t="s">
        <v>163</v>
      </c>
      <c r="C428" s="20" t="s">
        <v>133</v>
      </c>
      <c r="D428" s="20" t="s">
        <v>814</v>
      </c>
      <c r="E428" s="20" t="s">
        <v>189</v>
      </c>
      <c r="F428" s="20" t="s">
        <v>817</v>
      </c>
      <c r="G428" s="20" t="s">
        <v>191</v>
      </c>
      <c r="H428" s="20">
        <v>1</v>
      </c>
      <c r="I428" s="20">
        <v>0</v>
      </c>
      <c r="J428" s="22">
        <f t="shared" si="14"/>
        <v>0</v>
      </c>
      <c r="K428" s="20">
        <f t="shared" si="15"/>
        <v>1</v>
      </c>
    </row>
    <row r="429" spans="1:11" x14ac:dyDescent="0.35">
      <c r="A429" s="20" t="s">
        <v>118</v>
      </c>
      <c r="B429" s="20" t="s">
        <v>163</v>
      </c>
      <c r="C429" s="20" t="s">
        <v>133</v>
      </c>
      <c r="D429" s="20" t="s">
        <v>776</v>
      </c>
      <c r="E429" s="20" t="s">
        <v>189</v>
      </c>
      <c r="F429" s="20" t="s">
        <v>818</v>
      </c>
      <c r="G429" s="20" t="s">
        <v>191</v>
      </c>
      <c r="H429" s="20">
        <v>1</v>
      </c>
      <c r="I429" s="20">
        <v>0</v>
      </c>
      <c r="J429" s="22">
        <f t="shared" si="14"/>
        <v>0</v>
      </c>
      <c r="K429" s="20">
        <f t="shared" si="15"/>
        <v>1</v>
      </c>
    </row>
    <row r="430" spans="1:11" x14ac:dyDescent="0.35">
      <c r="A430" s="20" t="s">
        <v>118</v>
      </c>
      <c r="B430" s="20" t="s">
        <v>163</v>
      </c>
      <c r="C430" s="20" t="s">
        <v>133</v>
      </c>
      <c r="D430" s="20" t="s">
        <v>819</v>
      </c>
      <c r="E430" s="20" t="s">
        <v>189</v>
      </c>
      <c r="F430" s="20" t="s">
        <v>820</v>
      </c>
      <c r="G430" s="20" t="s">
        <v>191</v>
      </c>
      <c r="H430" s="20">
        <v>1</v>
      </c>
      <c r="I430" s="20">
        <v>0</v>
      </c>
      <c r="J430" s="22">
        <f t="shared" si="14"/>
        <v>0</v>
      </c>
      <c r="K430" s="20">
        <f t="shared" si="15"/>
        <v>1</v>
      </c>
    </row>
    <row r="431" spans="1:11" x14ac:dyDescent="0.35">
      <c r="A431" s="20" t="s">
        <v>118</v>
      </c>
      <c r="B431" s="20" t="s">
        <v>163</v>
      </c>
      <c r="C431" s="20" t="s">
        <v>133</v>
      </c>
      <c r="D431" s="20" t="s">
        <v>821</v>
      </c>
      <c r="E431" s="20" t="s">
        <v>189</v>
      </c>
      <c r="F431" s="20" t="s">
        <v>822</v>
      </c>
      <c r="G431" s="20" t="s">
        <v>191</v>
      </c>
      <c r="H431" s="20">
        <v>1</v>
      </c>
      <c r="I431" s="20">
        <v>0</v>
      </c>
      <c r="J431" s="22">
        <f t="shared" si="14"/>
        <v>0</v>
      </c>
      <c r="K431" s="20">
        <f t="shared" si="15"/>
        <v>1</v>
      </c>
    </row>
    <row r="432" spans="1:11" x14ac:dyDescent="0.35">
      <c r="A432" s="20" t="s">
        <v>118</v>
      </c>
      <c r="B432" s="20" t="s">
        <v>163</v>
      </c>
      <c r="C432" s="20" t="s">
        <v>133</v>
      </c>
      <c r="D432" s="20" t="s">
        <v>821</v>
      </c>
      <c r="E432" s="20" t="s">
        <v>189</v>
      </c>
      <c r="F432" s="20" t="s">
        <v>823</v>
      </c>
      <c r="G432" s="20" t="s">
        <v>191</v>
      </c>
      <c r="H432" s="20">
        <v>1</v>
      </c>
      <c r="I432" s="20">
        <v>0</v>
      </c>
      <c r="J432" s="22">
        <f t="shared" si="14"/>
        <v>0</v>
      </c>
      <c r="K432" s="20">
        <f t="shared" si="15"/>
        <v>1</v>
      </c>
    </row>
    <row r="433" spans="1:11" x14ac:dyDescent="0.35">
      <c r="A433" s="20" t="s">
        <v>118</v>
      </c>
      <c r="B433" s="20" t="s">
        <v>163</v>
      </c>
      <c r="C433" s="20" t="s">
        <v>133</v>
      </c>
      <c r="D433" s="20" t="s">
        <v>821</v>
      </c>
      <c r="E433" s="20" t="s">
        <v>189</v>
      </c>
      <c r="F433" s="20" t="s">
        <v>824</v>
      </c>
      <c r="G433" s="20" t="s">
        <v>191</v>
      </c>
      <c r="H433" s="20">
        <v>1</v>
      </c>
      <c r="I433" s="20">
        <v>0</v>
      </c>
      <c r="J433" s="22">
        <f t="shared" si="14"/>
        <v>0</v>
      </c>
      <c r="K433" s="20">
        <f t="shared" si="15"/>
        <v>1</v>
      </c>
    </row>
    <row r="434" spans="1:11" x14ac:dyDescent="0.35">
      <c r="A434" s="20" t="s">
        <v>118</v>
      </c>
      <c r="B434" s="20" t="s">
        <v>163</v>
      </c>
      <c r="C434" s="20" t="s">
        <v>133</v>
      </c>
      <c r="D434" s="20" t="s">
        <v>821</v>
      </c>
      <c r="E434" s="20" t="s">
        <v>189</v>
      </c>
      <c r="F434" s="20" t="s">
        <v>825</v>
      </c>
      <c r="G434" s="20" t="s">
        <v>191</v>
      </c>
      <c r="H434" s="20">
        <v>1</v>
      </c>
      <c r="I434" s="20">
        <v>0</v>
      </c>
      <c r="J434" s="22">
        <f t="shared" si="14"/>
        <v>0</v>
      </c>
      <c r="K434" s="20">
        <f t="shared" si="15"/>
        <v>1</v>
      </c>
    </row>
    <row r="435" spans="1:11" x14ac:dyDescent="0.35">
      <c r="A435" s="20" t="s">
        <v>118</v>
      </c>
      <c r="B435" s="20" t="s">
        <v>163</v>
      </c>
      <c r="C435" s="20" t="s">
        <v>133</v>
      </c>
      <c r="D435" s="20" t="s">
        <v>826</v>
      </c>
      <c r="E435" s="20" t="s">
        <v>189</v>
      </c>
      <c r="F435" s="20" t="s">
        <v>827</v>
      </c>
      <c r="G435" s="20" t="s">
        <v>191</v>
      </c>
      <c r="H435" s="20">
        <v>1</v>
      </c>
      <c r="I435" s="20">
        <v>0</v>
      </c>
      <c r="J435" s="22">
        <f t="shared" si="14"/>
        <v>0</v>
      </c>
      <c r="K435" s="20">
        <f t="shared" si="15"/>
        <v>1</v>
      </c>
    </row>
    <row r="436" spans="1:11" x14ac:dyDescent="0.35">
      <c r="A436" s="20" t="s">
        <v>118</v>
      </c>
      <c r="B436" s="20" t="s">
        <v>163</v>
      </c>
      <c r="C436" s="20" t="s">
        <v>133</v>
      </c>
      <c r="D436" s="20" t="s">
        <v>828</v>
      </c>
      <c r="E436" s="20" t="s">
        <v>189</v>
      </c>
      <c r="F436" s="20" t="s">
        <v>829</v>
      </c>
      <c r="G436" s="20" t="s">
        <v>191</v>
      </c>
      <c r="H436" s="20">
        <v>1</v>
      </c>
      <c r="I436" s="20">
        <v>0</v>
      </c>
      <c r="J436" s="22">
        <f t="shared" si="14"/>
        <v>0</v>
      </c>
      <c r="K436" s="20">
        <f t="shared" si="15"/>
        <v>1</v>
      </c>
    </row>
    <row r="437" spans="1:11" x14ac:dyDescent="0.35">
      <c r="A437" s="20" t="s">
        <v>118</v>
      </c>
      <c r="B437" s="20" t="s">
        <v>163</v>
      </c>
      <c r="C437" s="20" t="s">
        <v>133</v>
      </c>
      <c r="D437" s="20" t="s">
        <v>830</v>
      </c>
      <c r="E437" s="20" t="s">
        <v>189</v>
      </c>
      <c r="F437" s="20" t="s">
        <v>831</v>
      </c>
      <c r="G437" s="20" t="s">
        <v>191</v>
      </c>
      <c r="H437" s="20">
        <v>1</v>
      </c>
      <c r="I437" s="20">
        <v>0</v>
      </c>
      <c r="J437" s="22">
        <f t="shared" si="14"/>
        <v>0</v>
      </c>
      <c r="K437" s="20">
        <f t="shared" si="15"/>
        <v>1</v>
      </c>
    </row>
    <row r="438" spans="1:11" x14ac:dyDescent="0.35">
      <c r="A438" s="20" t="s">
        <v>118</v>
      </c>
      <c r="B438" s="20" t="s">
        <v>163</v>
      </c>
      <c r="C438" s="20" t="s">
        <v>133</v>
      </c>
      <c r="D438" s="20" t="s">
        <v>832</v>
      </c>
      <c r="E438" s="20" t="s">
        <v>189</v>
      </c>
      <c r="F438" s="20" t="s">
        <v>833</v>
      </c>
      <c r="G438" s="20" t="s">
        <v>191</v>
      </c>
      <c r="H438" s="20">
        <v>1</v>
      </c>
      <c r="I438" s="20">
        <v>0</v>
      </c>
      <c r="J438" s="22">
        <f t="shared" si="14"/>
        <v>0</v>
      </c>
      <c r="K438" s="20">
        <f t="shared" si="15"/>
        <v>1</v>
      </c>
    </row>
    <row r="439" spans="1:11" x14ac:dyDescent="0.35">
      <c r="A439" s="20" t="s">
        <v>118</v>
      </c>
      <c r="B439" s="20" t="s">
        <v>163</v>
      </c>
      <c r="C439" s="20" t="s">
        <v>133</v>
      </c>
      <c r="D439" s="20" t="s">
        <v>834</v>
      </c>
      <c r="E439" s="20" t="s">
        <v>189</v>
      </c>
      <c r="F439" s="20" t="s">
        <v>835</v>
      </c>
      <c r="G439" s="20" t="s">
        <v>191</v>
      </c>
      <c r="H439" s="20">
        <v>1</v>
      </c>
      <c r="I439" s="20">
        <v>0</v>
      </c>
      <c r="J439" s="22">
        <f t="shared" si="14"/>
        <v>0</v>
      </c>
      <c r="K439" s="20">
        <f t="shared" si="15"/>
        <v>1</v>
      </c>
    </row>
    <row r="440" spans="1:11" x14ac:dyDescent="0.35">
      <c r="A440" s="20" t="s">
        <v>118</v>
      </c>
      <c r="B440" s="20" t="s">
        <v>163</v>
      </c>
      <c r="C440" s="20" t="s">
        <v>133</v>
      </c>
      <c r="D440" s="20" t="s">
        <v>836</v>
      </c>
      <c r="E440" s="20" t="s">
        <v>189</v>
      </c>
      <c r="F440" s="20" t="s">
        <v>837</v>
      </c>
      <c r="G440" s="20" t="s">
        <v>191</v>
      </c>
      <c r="H440" s="20">
        <v>1</v>
      </c>
      <c r="I440" s="20">
        <v>0</v>
      </c>
      <c r="J440" s="22">
        <f t="shared" si="14"/>
        <v>0</v>
      </c>
      <c r="K440" s="20">
        <f t="shared" si="15"/>
        <v>1</v>
      </c>
    </row>
    <row r="441" spans="1:11" x14ac:dyDescent="0.35">
      <c r="A441" s="20" t="s">
        <v>118</v>
      </c>
      <c r="B441" s="20" t="s">
        <v>163</v>
      </c>
      <c r="C441" s="20" t="s">
        <v>133</v>
      </c>
      <c r="D441" s="20" t="s">
        <v>838</v>
      </c>
      <c r="E441" s="20" t="s">
        <v>189</v>
      </c>
      <c r="F441" s="20" t="s">
        <v>839</v>
      </c>
      <c r="G441" s="20" t="s">
        <v>191</v>
      </c>
      <c r="H441" s="20">
        <v>1</v>
      </c>
      <c r="I441" s="20">
        <v>0</v>
      </c>
      <c r="J441" s="22">
        <f t="shared" si="14"/>
        <v>0</v>
      </c>
      <c r="K441" s="20">
        <f t="shared" si="15"/>
        <v>1</v>
      </c>
    </row>
    <row r="442" spans="1:11" x14ac:dyDescent="0.35">
      <c r="A442" s="20" t="s">
        <v>118</v>
      </c>
      <c r="B442" s="20" t="s">
        <v>163</v>
      </c>
      <c r="C442" s="20" t="s">
        <v>133</v>
      </c>
      <c r="D442" s="20" t="s">
        <v>840</v>
      </c>
      <c r="E442" s="20" t="s">
        <v>189</v>
      </c>
      <c r="F442" s="20" t="s">
        <v>841</v>
      </c>
      <c r="G442" s="20" t="s">
        <v>191</v>
      </c>
      <c r="H442" s="20">
        <v>1</v>
      </c>
      <c r="I442" s="20">
        <v>0</v>
      </c>
      <c r="J442" s="22">
        <f t="shared" si="14"/>
        <v>0</v>
      </c>
      <c r="K442" s="20">
        <f t="shared" si="15"/>
        <v>1</v>
      </c>
    </row>
    <row r="443" spans="1:11" x14ac:dyDescent="0.35">
      <c r="A443" s="20" t="s">
        <v>118</v>
      </c>
      <c r="B443" s="20" t="s">
        <v>163</v>
      </c>
      <c r="C443" s="20" t="s">
        <v>133</v>
      </c>
      <c r="D443" s="20" t="s">
        <v>842</v>
      </c>
      <c r="E443" s="20" t="s">
        <v>189</v>
      </c>
      <c r="F443" s="20" t="s">
        <v>843</v>
      </c>
      <c r="G443" s="20" t="s">
        <v>191</v>
      </c>
      <c r="H443" s="20">
        <v>1</v>
      </c>
      <c r="I443" s="20">
        <v>0</v>
      </c>
      <c r="J443" s="22">
        <f t="shared" si="14"/>
        <v>0</v>
      </c>
      <c r="K443" s="20">
        <f t="shared" si="15"/>
        <v>1</v>
      </c>
    </row>
    <row r="444" spans="1:11" x14ac:dyDescent="0.35">
      <c r="A444" s="20" t="s">
        <v>118</v>
      </c>
      <c r="B444" s="20" t="s">
        <v>163</v>
      </c>
      <c r="C444" s="20" t="s">
        <v>133</v>
      </c>
      <c r="D444" s="20" t="s">
        <v>776</v>
      </c>
      <c r="E444" s="20" t="s">
        <v>189</v>
      </c>
      <c r="F444" s="20" t="s">
        <v>844</v>
      </c>
      <c r="G444" s="20" t="s">
        <v>191</v>
      </c>
      <c r="H444" s="20">
        <v>1</v>
      </c>
      <c r="I444" s="20">
        <v>0</v>
      </c>
      <c r="J444" s="22">
        <f t="shared" si="14"/>
        <v>0</v>
      </c>
      <c r="K444" s="20">
        <f t="shared" si="15"/>
        <v>1</v>
      </c>
    </row>
    <row r="445" spans="1:11" x14ac:dyDescent="0.35">
      <c r="A445" s="20" t="s">
        <v>118</v>
      </c>
      <c r="B445" s="20" t="s">
        <v>163</v>
      </c>
      <c r="C445" s="20" t="s">
        <v>133</v>
      </c>
      <c r="D445" s="20" t="s">
        <v>716</v>
      </c>
      <c r="E445" s="20" t="s">
        <v>189</v>
      </c>
      <c r="F445" s="20" t="s">
        <v>845</v>
      </c>
      <c r="G445" s="20" t="s">
        <v>191</v>
      </c>
      <c r="H445" s="20">
        <v>1</v>
      </c>
      <c r="I445" s="20">
        <v>0</v>
      </c>
      <c r="J445" s="22">
        <f t="shared" si="14"/>
        <v>0</v>
      </c>
      <c r="K445" s="20">
        <f t="shared" si="15"/>
        <v>1</v>
      </c>
    </row>
    <row r="446" spans="1:11" x14ac:dyDescent="0.35">
      <c r="A446" s="20" t="s">
        <v>118</v>
      </c>
      <c r="B446" s="20" t="s">
        <v>163</v>
      </c>
      <c r="C446" s="20" t="s">
        <v>133</v>
      </c>
      <c r="D446" s="20" t="s">
        <v>846</v>
      </c>
      <c r="E446" s="20" t="s">
        <v>189</v>
      </c>
      <c r="F446" s="20" t="s">
        <v>847</v>
      </c>
      <c r="G446" s="20" t="s">
        <v>191</v>
      </c>
      <c r="H446" s="20">
        <v>1</v>
      </c>
      <c r="I446" s="20">
        <v>0</v>
      </c>
      <c r="J446" s="22">
        <f t="shared" si="14"/>
        <v>0</v>
      </c>
      <c r="K446" s="20">
        <f t="shared" si="15"/>
        <v>1</v>
      </c>
    </row>
    <row r="447" spans="1:11" x14ac:dyDescent="0.35">
      <c r="A447" s="20" t="s">
        <v>118</v>
      </c>
      <c r="B447" s="20" t="s">
        <v>163</v>
      </c>
      <c r="C447" s="20" t="s">
        <v>133</v>
      </c>
      <c r="D447" s="20" t="s">
        <v>848</v>
      </c>
      <c r="E447" s="20" t="s">
        <v>189</v>
      </c>
      <c r="F447" s="20" t="s">
        <v>764</v>
      </c>
      <c r="G447" s="20" t="s">
        <v>191</v>
      </c>
      <c r="H447" s="20">
        <v>1</v>
      </c>
      <c r="I447" s="20">
        <v>0</v>
      </c>
      <c r="J447" s="22">
        <f t="shared" si="14"/>
        <v>0</v>
      </c>
      <c r="K447" s="20">
        <f t="shared" si="15"/>
        <v>1</v>
      </c>
    </row>
    <row r="448" spans="1:11" x14ac:dyDescent="0.35">
      <c r="A448" s="20" t="s">
        <v>118</v>
      </c>
      <c r="B448" s="20" t="s">
        <v>163</v>
      </c>
      <c r="C448" s="20" t="s">
        <v>133</v>
      </c>
      <c r="D448" s="20" t="s">
        <v>738</v>
      </c>
      <c r="E448" s="20" t="s">
        <v>189</v>
      </c>
      <c r="F448" s="20" t="s">
        <v>849</v>
      </c>
      <c r="G448" s="20" t="s">
        <v>191</v>
      </c>
      <c r="H448" s="20">
        <v>1</v>
      </c>
      <c r="I448" s="20">
        <v>0</v>
      </c>
      <c r="J448" s="22">
        <f t="shared" si="14"/>
        <v>0</v>
      </c>
      <c r="K448" s="20">
        <f t="shared" si="15"/>
        <v>1</v>
      </c>
    </row>
    <row r="449" spans="1:11" x14ac:dyDescent="0.35">
      <c r="A449" s="20" t="s">
        <v>118</v>
      </c>
      <c r="B449" s="20" t="s">
        <v>163</v>
      </c>
      <c r="C449" s="20" t="s">
        <v>133</v>
      </c>
      <c r="D449" s="20" t="s">
        <v>850</v>
      </c>
      <c r="E449" s="20" t="s">
        <v>189</v>
      </c>
      <c r="F449" s="20" t="s">
        <v>851</v>
      </c>
      <c r="G449" s="20" t="s">
        <v>191</v>
      </c>
      <c r="H449" s="20">
        <v>1</v>
      </c>
      <c r="I449" s="20">
        <v>0</v>
      </c>
      <c r="J449" s="22">
        <f t="shared" si="14"/>
        <v>0</v>
      </c>
      <c r="K449" s="20">
        <f t="shared" si="15"/>
        <v>1</v>
      </c>
    </row>
    <row r="450" spans="1:11" x14ac:dyDescent="0.35">
      <c r="A450" s="20" t="s">
        <v>118</v>
      </c>
      <c r="B450" s="20" t="s">
        <v>163</v>
      </c>
      <c r="C450" s="20" t="s">
        <v>133</v>
      </c>
      <c r="D450" s="20" t="s">
        <v>852</v>
      </c>
      <c r="E450" s="20" t="s">
        <v>189</v>
      </c>
      <c r="F450" s="20" t="s">
        <v>853</v>
      </c>
      <c r="G450" s="20" t="s">
        <v>191</v>
      </c>
      <c r="H450" s="20">
        <v>1</v>
      </c>
      <c r="I450" s="20">
        <v>0</v>
      </c>
      <c r="J450" s="22">
        <f t="shared" si="14"/>
        <v>0</v>
      </c>
      <c r="K450" s="20">
        <f t="shared" si="15"/>
        <v>1</v>
      </c>
    </row>
    <row r="451" spans="1:11" x14ac:dyDescent="0.35">
      <c r="A451" s="20" t="s">
        <v>118</v>
      </c>
      <c r="B451" s="20" t="s">
        <v>163</v>
      </c>
      <c r="C451" s="20" t="s">
        <v>133</v>
      </c>
      <c r="D451" s="20" t="s">
        <v>854</v>
      </c>
      <c r="E451" s="20" t="s">
        <v>189</v>
      </c>
      <c r="F451" s="20" t="s">
        <v>855</v>
      </c>
      <c r="G451" s="20" t="s">
        <v>191</v>
      </c>
      <c r="H451" s="20">
        <v>1</v>
      </c>
      <c r="I451" s="20">
        <v>0</v>
      </c>
      <c r="J451" s="22">
        <f t="shared" si="14"/>
        <v>0</v>
      </c>
      <c r="K451" s="20">
        <f t="shared" si="15"/>
        <v>1</v>
      </c>
    </row>
    <row r="452" spans="1:11" x14ac:dyDescent="0.35">
      <c r="A452" s="20" t="s">
        <v>118</v>
      </c>
      <c r="B452" s="20" t="s">
        <v>163</v>
      </c>
      <c r="C452" s="20" t="s">
        <v>133</v>
      </c>
      <c r="D452" s="20" t="s">
        <v>856</v>
      </c>
      <c r="E452" s="20" t="s">
        <v>189</v>
      </c>
      <c r="F452" s="20" t="s">
        <v>857</v>
      </c>
      <c r="G452" s="20" t="s">
        <v>191</v>
      </c>
      <c r="H452" s="20">
        <v>1</v>
      </c>
      <c r="I452" s="20">
        <v>0</v>
      </c>
      <c r="J452" s="22">
        <f t="shared" si="14"/>
        <v>0</v>
      </c>
      <c r="K452" s="20">
        <f t="shared" si="15"/>
        <v>1</v>
      </c>
    </row>
    <row r="453" spans="1:11" x14ac:dyDescent="0.35">
      <c r="A453" s="20" t="s">
        <v>118</v>
      </c>
      <c r="B453" s="20" t="s">
        <v>163</v>
      </c>
      <c r="C453" s="20" t="s">
        <v>133</v>
      </c>
      <c r="D453" s="20" t="s">
        <v>858</v>
      </c>
      <c r="E453" s="20" t="s">
        <v>189</v>
      </c>
      <c r="F453" s="20" t="s">
        <v>859</v>
      </c>
      <c r="G453" s="20" t="s">
        <v>191</v>
      </c>
      <c r="H453" s="20">
        <v>1</v>
      </c>
      <c r="I453" s="20">
        <v>0</v>
      </c>
      <c r="J453" s="22">
        <f t="shared" si="14"/>
        <v>0</v>
      </c>
      <c r="K453" s="20">
        <f t="shared" si="15"/>
        <v>1</v>
      </c>
    </row>
    <row r="454" spans="1:11" x14ac:dyDescent="0.35">
      <c r="A454" s="20" t="s">
        <v>118</v>
      </c>
      <c r="B454" s="20" t="s">
        <v>163</v>
      </c>
      <c r="C454" s="20" t="s">
        <v>133</v>
      </c>
      <c r="D454" s="20" t="s">
        <v>860</v>
      </c>
      <c r="E454" s="20" t="s">
        <v>189</v>
      </c>
      <c r="F454" s="20" t="s">
        <v>861</v>
      </c>
      <c r="G454" s="20" t="s">
        <v>191</v>
      </c>
      <c r="H454" s="20">
        <v>1</v>
      </c>
      <c r="I454" s="20">
        <v>0</v>
      </c>
      <c r="J454" s="22">
        <f t="shared" si="14"/>
        <v>0</v>
      </c>
      <c r="K454" s="20">
        <f t="shared" si="15"/>
        <v>1</v>
      </c>
    </row>
    <row r="455" spans="1:11" x14ac:dyDescent="0.35">
      <c r="A455" s="20" t="s">
        <v>118</v>
      </c>
      <c r="B455" s="20" t="s">
        <v>163</v>
      </c>
      <c r="C455" s="20" t="s">
        <v>133</v>
      </c>
      <c r="D455" s="20" t="s">
        <v>862</v>
      </c>
      <c r="E455" s="20" t="s">
        <v>189</v>
      </c>
      <c r="F455" s="20" t="s">
        <v>764</v>
      </c>
      <c r="G455" s="20" t="s">
        <v>191</v>
      </c>
      <c r="H455" s="20">
        <v>1</v>
      </c>
      <c r="I455" s="20">
        <v>0</v>
      </c>
      <c r="J455" s="22">
        <f t="shared" si="14"/>
        <v>0</v>
      </c>
      <c r="K455" s="20">
        <f t="shared" si="15"/>
        <v>1</v>
      </c>
    </row>
    <row r="456" spans="1:11" x14ac:dyDescent="0.35">
      <c r="A456" s="20" t="s">
        <v>118</v>
      </c>
      <c r="B456" s="20" t="s">
        <v>163</v>
      </c>
      <c r="C456" s="20" t="s">
        <v>133</v>
      </c>
      <c r="D456" s="20" t="s">
        <v>863</v>
      </c>
      <c r="E456" s="20" t="s">
        <v>189</v>
      </c>
      <c r="F456" s="20" t="s">
        <v>764</v>
      </c>
      <c r="G456" s="20" t="s">
        <v>191</v>
      </c>
      <c r="H456" s="20">
        <v>1</v>
      </c>
      <c r="I456" s="20">
        <v>0</v>
      </c>
      <c r="J456" s="22">
        <f t="shared" si="14"/>
        <v>0</v>
      </c>
      <c r="K456" s="20">
        <f t="shared" si="15"/>
        <v>1</v>
      </c>
    </row>
    <row r="457" spans="1:11" x14ac:dyDescent="0.35">
      <c r="A457" s="20" t="s">
        <v>118</v>
      </c>
      <c r="B457" s="20" t="s">
        <v>163</v>
      </c>
      <c r="C457" s="20" t="s">
        <v>133</v>
      </c>
      <c r="D457" s="20" t="s">
        <v>864</v>
      </c>
      <c r="E457" s="20" t="s">
        <v>189</v>
      </c>
      <c r="F457" s="20" t="s">
        <v>865</v>
      </c>
      <c r="G457" s="20" t="s">
        <v>191</v>
      </c>
      <c r="H457" s="20">
        <v>1</v>
      </c>
      <c r="I457" s="20">
        <v>0</v>
      </c>
      <c r="J457" s="22">
        <f t="shared" si="14"/>
        <v>0</v>
      </c>
      <c r="K457" s="20">
        <f t="shared" si="15"/>
        <v>1</v>
      </c>
    </row>
    <row r="458" spans="1:11" x14ac:dyDescent="0.35">
      <c r="A458" s="20" t="s">
        <v>118</v>
      </c>
      <c r="B458" s="20" t="s">
        <v>163</v>
      </c>
      <c r="C458" s="20" t="s">
        <v>133</v>
      </c>
      <c r="D458" s="20" t="s">
        <v>866</v>
      </c>
      <c r="E458" s="20" t="s">
        <v>189</v>
      </c>
      <c r="F458" s="20" t="s">
        <v>764</v>
      </c>
      <c r="G458" s="20" t="s">
        <v>191</v>
      </c>
      <c r="H458" s="20">
        <v>1</v>
      </c>
      <c r="I458" s="20">
        <v>0</v>
      </c>
      <c r="J458" s="22">
        <f t="shared" si="14"/>
        <v>0</v>
      </c>
      <c r="K458" s="20">
        <f t="shared" si="15"/>
        <v>1</v>
      </c>
    </row>
    <row r="459" spans="1:11" x14ac:dyDescent="0.35">
      <c r="A459" s="20" t="s">
        <v>118</v>
      </c>
      <c r="B459" s="20" t="s">
        <v>163</v>
      </c>
      <c r="C459" s="20" t="s">
        <v>133</v>
      </c>
      <c r="D459" s="20" t="s">
        <v>867</v>
      </c>
      <c r="E459" s="20" t="s">
        <v>189</v>
      </c>
      <c r="F459" s="20" t="s">
        <v>868</v>
      </c>
      <c r="G459" s="20" t="s">
        <v>191</v>
      </c>
      <c r="H459" s="20">
        <v>1</v>
      </c>
      <c r="I459" s="20">
        <v>0</v>
      </c>
      <c r="J459" s="22">
        <f t="shared" si="14"/>
        <v>0</v>
      </c>
      <c r="K459" s="20">
        <f t="shared" si="15"/>
        <v>1</v>
      </c>
    </row>
    <row r="460" spans="1:11" x14ac:dyDescent="0.35">
      <c r="A460" s="20" t="s">
        <v>118</v>
      </c>
      <c r="B460" s="20" t="s">
        <v>163</v>
      </c>
      <c r="C460" s="20" t="s">
        <v>133</v>
      </c>
      <c r="D460" s="20" t="s">
        <v>869</v>
      </c>
      <c r="E460" s="20" t="s">
        <v>189</v>
      </c>
      <c r="F460" s="20" t="s">
        <v>870</v>
      </c>
      <c r="G460" s="20" t="s">
        <v>191</v>
      </c>
      <c r="H460" s="20">
        <v>1</v>
      </c>
      <c r="I460" s="20">
        <v>0</v>
      </c>
      <c r="J460" s="22">
        <f t="shared" si="14"/>
        <v>0</v>
      </c>
      <c r="K460" s="20">
        <f t="shared" si="15"/>
        <v>1</v>
      </c>
    </row>
    <row r="461" spans="1:11" x14ac:dyDescent="0.35">
      <c r="A461" s="20" t="s">
        <v>118</v>
      </c>
      <c r="B461" s="20" t="s">
        <v>163</v>
      </c>
      <c r="C461" s="20" t="s">
        <v>133</v>
      </c>
      <c r="D461" s="20" t="s">
        <v>871</v>
      </c>
      <c r="E461" s="20" t="s">
        <v>189</v>
      </c>
      <c r="F461" s="20" t="s">
        <v>872</v>
      </c>
      <c r="G461" s="20" t="s">
        <v>191</v>
      </c>
      <c r="H461" s="20">
        <v>1</v>
      </c>
      <c r="I461" s="20">
        <v>0</v>
      </c>
      <c r="J461" s="22">
        <f t="shared" si="14"/>
        <v>0</v>
      </c>
      <c r="K461" s="20">
        <f t="shared" si="15"/>
        <v>1</v>
      </c>
    </row>
    <row r="462" spans="1:11" x14ac:dyDescent="0.35">
      <c r="A462" s="20" t="s">
        <v>118</v>
      </c>
      <c r="B462" s="20" t="s">
        <v>163</v>
      </c>
      <c r="C462" s="20" t="s">
        <v>133</v>
      </c>
      <c r="D462" s="20" t="s">
        <v>873</v>
      </c>
      <c r="E462" s="20" t="s">
        <v>189</v>
      </c>
      <c r="F462" s="20" t="s">
        <v>874</v>
      </c>
      <c r="G462" s="20" t="s">
        <v>191</v>
      </c>
      <c r="H462" s="20">
        <v>1</v>
      </c>
      <c r="I462" s="20">
        <v>0</v>
      </c>
      <c r="J462" s="22">
        <f t="shared" si="14"/>
        <v>0</v>
      </c>
      <c r="K462" s="20">
        <f t="shared" si="15"/>
        <v>1</v>
      </c>
    </row>
    <row r="463" spans="1:11" x14ac:dyDescent="0.35">
      <c r="A463" s="20" t="s">
        <v>118</v>
      </c>
      <c r="B463" s="20" t="s">
        <v>163</v>
      </c>
      <c r="C463" s="20" t="s">
        <v>133</v>
      </c>
      <c r="D463" s="20" t="s">
        <v>875</v>
      </c>
      <c r="E463" s="20" t="s">
        <v>189</v>
      </c>
      <c r="F463" s="20" t="s">
        <v>876</v>
      </c>
      <c r="G463" s="20" t="s">
        <v>191</v>
      </c>
      <c r="H463" s="20">
        <v>1</v>
      </c>
      <c r="I463" s="20">
        <v>0</v>
      </c>
      <c r="J463" s="22">
        <f t="shared" si="14"/>
        <v>0</v>
      </c>
      <c r="K463" s="20">
        <f t="shared" si="15"/>
        <v>1</v>
      </c>
    </row>
    <row r="464" spans="1:11" x14ac:dyDescent="0.35">
      <c r="A464" s="20" t="s">
        <v>118</v>
      </c>
      <c r="B464" s="20" t="s">
        <v>163</v>
      </c>
      <c r="C464" s="20" t="s">
        <v>133</v>
      </c>
      <c r="D464" s="20" t="s">
        <v>873</v>
      </c>
      <c r="E464" s="20" t="s">
        <v>189</v>
      </c>
      <c r="F464" s="20" t="s">
        <v>877</v>
      </c>
      <c r="G464" s="20" t="s">
        <v>191</v>
      </c>
      <c r="H464" s="20">
        <v>1</v>
      </c>
      <c r="I464" s="20">
        <v>0</v>
      </c>
      <c r="J464" s="22">
        <f t="shared" si="14"/>
        <v>0</v>
      </c>
      <c r="K464" s="20">
        <f t="shared" si="15"/>
        <v>1</v>
      </c>
    </row>
    <row r="465" spans="1:11" x14ac:dyDescent="0.35">
      <c r="A465" s="20" t="s">
        <v>118</v>
      </c>
      <c r="B465" s="20" t="s">
        <v>163</v>
      </c>
      <c r="C465" s="20" t="s">
        <v>133</v>
      </c>
      <c r="D465" s="20" t="s">
        <v>878</v>
      </c>
      <c r="E465" s="20" t="s">
        <v>189</v>
      </c>
      <c r="F465" s="20" t="s">
        <v>879</v>
      </c>
      <c r="G465" s="20" t="s">
        <v>191</v>
      </c>
      <c r="H465" s="20">
        <v>1</v>
      </c>
      <c r="I465" s="20">
        <v>0</v>
      </c>
      <c r="J465" s="22">
        <f t="shared" si="14"/>
        <v>0</v>
      </c>
      <c r="K465" s="20">
        <f t="shared" si="15"/>
        <v>1</v>
      </c>
    </row>
    <row r="466" spans="1:11" x14ac:dyDescent="0.35">
      <c r="A466" s="20" t="s">
        <v>118</v>
      </c>
      <c r="B466" s="20" t="s">
        <v>163</v>
      </c>
      <c r="C466" s="20" t="s">
        <v>133</v>
      </c>
      <c r="D466" s="20" t="s">
        <v>880</v>
      </c>
      <c r="E466" s="20" t="s">
        <v>189</v>
      </c>
      <c r="F466" s="20" t="s">
        <v>881</v>
      </c>
      <c r="G466" s="20" t="s">
        <v>191</v>
      </c>
      <c r="H466" s="20">
        <v>1</v>
      </c>
      <c r="I466" s="20">
        <v>0</v>
      </c>
      <c r="J466" s="22">
        <f t="shared" si="14"/>
        <v>0</v>
      </c>
      <c r="K466" s="20">
        <f t="shared" si="15"/>
        <v>1</v>
      </c>
    </row>
    <row r="467" spans="1:11" x14ac:dyDescent="0.35">
      <c r="A467" s="20" t="s">
        <v>118</v>
      </c>
      <c r="B467" s="20" t="s">
        <v>163</v>
      </c>
      <c r="C467" s="20" t="s">
        <v>133</v>
      </c>
      <c r="D467" s="20" t="s">
        <v>882</v>
      </c>
      <c r="E467" s="20" t="s">
        <v>189</v>
      </c>
      <c r="F467" s="20" t="s">
        <v>883</v>
      </c>
      <c r="G467" s="20" t="s">
        <v>191</v>
      </c>
      <c r="H467" s="20">
        <v>1</v>
      </c>
      <c r="I467" s="20">
        <v>0</v>
      </c>
      <c r="J467" s="22">
        <f t="shared" si="14"/>
        <v>0</v>
      </c>
      <c r="K467" s="20">
        <f t="shared" si="15"/>
        <v>1</v>
      </c>
    </row>
    <row r="468" spans="1:11" x14ac:dyDescent="0.35">
      <c r="A468" s="20" t="s">
        <v>118</v>
      </c>
      <c r="B468" s="20" t="s">
        <v>163</v>
      </c>
      <c r="C468" s="20" t="s">
        <v>133</v>
      </c>
      <c r="D468" s="20" t="s">
        <v>884</v>
      </c>
      <c r="E468" s="20" t="s">
        <v>189</v>
      </c>
      <c r="F468" s="20" t="s">
        <v>885</v>
      </c>
      <c r="G468" s="20" t="s">
        <v>191</v>
      </c>
      <c r="H468" s="20">
        <v>1</v>
      </c>
      <c r="I468" s="20">
        <v>0</v>
      </c>
      <c r="J468" s="22">
        <f t="shared" si="14"/>
        <v>0</v>
      </c>
      <c r="K468" s="20">
        <f t="shared" si="15"/>
        <v>1</v>
      </c>
    </row>
    <row r="469" spans="1:11" x14ac:dyDescent="0.35">
      <c r="A469" s="20" t="s">
        <v>118</v>
      </c>
      <c r="B469" s="20" t="s">
        <v>163</v>
      </c>
      <c r="C469" s="20" t="s">
        <v>133</v>
      </c>
      <c r="D469" s="20" t="s">
        <v>886</v>
      </c>
      <c r="E469" s="20" t="s">
        <v>189</v>
      </c>
      <c r="F469" s="20" t="s">
        <v>887</v>
      </c>
      <c r="G469" s="20" t="s">
        <v>191</v>
      </c>
      <c r="H469" s="20">
        <v>1</v>
      </c>
      <c r="I469" s="20">
        <v>0</v>
      </c>
      <c r="J469" s="22">
        <f t="shared" si="14"/>
        <v>0</v>
      </c>
      <c r="K469" s="20">
        <f t="shared" si="15"/>
        <v>1</v>
      </c>
    </row>
    <row r="470" spans="1:11" x14ac:dyDescent="0.35">
      <c r="A470" s="20" t="s">
        <v>118</v>
      </c>
      <c r="B470" s="20" t="s">
        <v>163</v>
      </c>
      <c r="C470" s="20" t="s">
        <v>133</v>
      </c>
      <c r="D470" s="20" t="s">
        <v>880</v>
      </c>
      <c r="E470" s="20" t="s">
        <v>189</v>
      </c>
      <c r="F470" s="20" t="s">
        <v>888</v>
      </c>
      <c r="G470" s="20" t="s">
        <v>191</v>
      </c>
      <c r="H470" s="20">
        <v>1</v>
      </c>
      <c r="I470" s="20">
        <v>0</v>
      </c>
      <c r="J470" s="22">
        <f t="shared" si="14"/>
        <v>0</v>
      </c>
      <c r="K470" s="20">
        <f t="shared" si="15"/>
        <v>1</v>
      </c>
    </row>
    <row r="471" spans="1:11" x14ac:dyDescent="0.35">
      <c r="A471" s="20" t="s">
        <v>118</v>
      </c>
      <c r="B471" s="20" t="s">
        <v>163</v>
      </c>
      <c r="C471" s="20" t="s">
        <v>133</v>
      </c>
      <c r="D471" s="20" t="s">
        <v>889</v>
      </c>
      <c r="E471" s="20" t="s">
        <v>189</v>
      </c>
      <c r="F471" s="20" t="s">
        <v>890</v>
      </c>
      <c r="G471" s="20" t="s">
        <v>191</v>
      </c>
      <c r="H471" s="20">
        <v>1</v>
      </c>
      <c r="I471" s="20">
        <v>0</v>
      </c>
      <c r="J471" s="22">
        <f t="shared" si="14"/>
        <v>0</v>
      </c>
      <c r="K471" s="20">
        <f t="shared" si="15"/>
        <v>1</v>
      </c>
    </row>
    <row r="472" spans="1:11" x14ac:dyDescent="0.35">
      <c r="A472" s="20" t="s">
        <v>118</v>
      </c>
      <c r="B472" s="20" t="s">
        <v>163</v>
      </c>
      <c r="C472" s="20" t="s">
        <v>133</v>
      </c>
      <c r="D472" s="20" t="s">
        <v>891</v>
      </c>
      <c r="E472" s="20" t="s">
        <v>189</v>
      </c>
      <c r="F472" s="20" t="s">
        <v>764</v>
      </c>
      <c r="G472" s="20" t="s">
        <v>191</v>
      </c>
      <c r="H472" s="20">
        <v>1</v>
      </c>
      <c r="I472" s="20">
        <v>0</v>
      </c>
      <c r="J472" s="22">
        <f t="shared" si="14"/>
        <v>0</v>
      </c>
      <c r="K472" s="20">
        <f t="shared" si="15"/>
        <v>1</v>
      </c>
    </row>
    <row r="473" spans="1:11" x14ac:dyDescent="0.35">
      <c r="A473" s="20" t="s">
        <v>118</v>
      </c>
      <c r="B473" s="20" t="s">
        <v>163</v>
      </c>
      <c r="C473" s="20" t="s">
        <v>133</v>
      </c>
      <c r="D473" s="20" t="s">
        <v>892</v>
      </c>
      <c r="E473" s="20" t="s">
        <v>189</v>
      </c>
      <c r="F473" s="20" t="s">
        <v>893</v>
      </c>
      <c r="G473" s="20" t="s">
        <v>191</v>
      </c>
      <c r="H473" s="20">
        <v>1</v>
      </c>
      <c r="I473" s="20">
        <v>0</v>
      </c>
      <c r="J473" s="22">
        <f t="shared" si="14"/>
        <v>0</v>
      </c>
      <c r="K473" s="20">
        <f t="shared" si="15"/>
        <v>1</v>
      </c>
    </row>
    <row r="474" spans="1:11" x14ac:dyDescent="0.35">
      <c r="A474" s="20" t="s">
        <v>118</v>
      </c>
      <c r="B474" s="20" t="s">
        <v>163</v>
      </c>
      <c r="C474" s="20" t="s">
        <v>133</v>
      </c>
      <c r="D474" s="20" t="s">
        <v>894</v>
      </c>
      <c r="E474" s="20" t="s">
        <v>189</v>
      </c>
      <c r="F474" s="20" t="s">
        <v>895</v>
      </c>
      <c r="G474" s="20" t="s">
        <v>191</v>
      </c>
      <c r="H474" s="20">
        <v>1</v>
      </c>
      <c r="I474" s="20">
        <v>0</v>
      </c>
      <c r="J474" s="22">
        <f t="shared" si="14"/>
        <v>0</v>
      </c>
      <c r="K474" s="20">
        <f t="shared" si="15"/>
        <v>1</v>
      </c>
    </row>
    <row r="475" spans="1:11" x14ac:dyDescent="0.35">
      <c r="A475" s="20" t="s">
        <v>118</v>
      </c>
      <c r="B475" s="20" t="s">
        <v>163</v>
      </c>
      <c r="C475" s="20" t="s">
        <v>133</v>
      </c>
      <c r="D475" s="20" t="s">
        <v>896</v>
      </c>
      <c r="E475" s="20" t="s">
        <v>189</v>
      </c>
      <c r="F475" s="20" t="s">
        <v>897</v>
      </c>
      <c r="G475" s="20" t="s">
        <v>191</v>
      </c>
      <c r="H475" s="20">
        <v>1</v>
      </c>
      <c r="I475" s="20">
        <v>0</v>
      </c>
      <c r="J475" s="22">
        <f t="shared" si="14"/>
        <v>0</v>
      </c>
      <c r="K475" s="20">
        <f t="shared" si="15"/>
        <v>1</v>
      </c>
    </row>
    <row r="476" spans="1:11" x14ac:dyDescent="0.35">
      <c r="A476" s="20" t="s">
        <v>118</v>
      </c>
      <c r="B476" s="20" t="s">
        <v>163</v>
      </c>
      <c r="C476" s="20" t="s">
        <v>133</v>
      </c>
      <c r="D476" s="20" t="s">
        <v>896</v>
      </c>
      <c r="E476" s="20" t="s">
        <v>189</v>
      </c>
      <c r="F476" s="20" t="s">
        <v>898</v>
      </c>
      <c r="G476" s="20" t="s">
        <v>191</v>
      </c>
      <c r="H476" s="20">
        <v>1</v>
      </c>
      <c r="I476" s="20">
        <v>0</v>
      </c>
      <c r="J476" s="22">
        <f t="shared" si="14"/>
        <v>0</v>
      </c>
      <c r="K476" s="20">
        <f t="shared" si="15"/>
        <v>1</v>
      </c>
    </row>
    <row r="477" spans="1:11" x14ac:dyDescent="0.35">
      <c r="A477" s="20" t="s">
        <v>118</v>
      </c>
      <c r="B477" s="20" t="s">
        <v>163</v>
      </c>
      <c r="C477" s="20" t="s">
        <v>133</v>
      </c>
      <c r="D477" s="20" t="s">
        <v>899</v>
      </c>
      <c r="E477" s="20" t="s">
        <v>189</v>
      </c>
      <c r="F477" s="20" t="s">
        <v>900</v>
      </c>
      <c r="G477" s="20" t="s">
        <v>191</v>
      </c>
      <c r="H477" s="20">
        <v>1</v>
      </c>
      <c r="I477" s="20">
        <v>0</v>
      </c>
      <c r="J477" s="22">
        <f t="shared" si="14"/>
        <v>0</v>
      </c>
      <c r="K477" s="20">
        <f t="shared" si="15"/>
        <v>1</v>
      </c>
    </row>
    <row r="478" spans="1:11" x14ac:dyDescent="0.35">
      <c r="A478" s="20" t="s">
        <v>118</v>
      </c>
      <c r="B478" s="20" t="s">
        <v>163</v>
      </c>
      <c r="C478" s="20" t="s">
        <v>133</v>
      </c>
      <c r="D478" s="20" t="s">
        <v>719</v>
      </c>
      <c r="E478" s="20" t="s">
        <v>189</v>
      </c>
      <c r="F478" s="20" t="s">
        <v>901</v>
      </c>
      <c r="G478" s="20" t="s">
        <v>191</v>
      </c>
      <c r="H478" s="20">
        <v>1</v>
      </c>
      <c r="I478" s="20">
        <v>0</v>
      </c>
      <c r="J478" s="22">
        <f t="shared" si="14"/>
        <v>0</v>
      </c>
      <c r="K478" s="20">
        <f t="shared" si="15"/>
        <v>1</v>
      </c>
    </row>
    <row r="479" spans="1:11" x14ac:dyDescent="0.35">
      <c r="A479" s="20" t="s">
        <v>118</v>
      </c>
      <c r="B479" s="20" t="s">
        <v>163</v>
      </c>
      <c r="C479" s="20" t="s">
        <v>133</v>
      </c>
      <c r="D479" s="20" t="s">
        <v>719</v>
      </c>
      <c r="E479" s="20" t="s">
        <v>189</v>
      </c>
      <c r="F479" s="20" t="s">
        <v>902</v>
      </c>
      <c r="G479" s="20" t="s">
        <v>191</v>
      </c>
      <c r="H479" s="20">
        <v>1</v>
      </c>
      <c r="I479" s="20">
        <v>0</v>
      </c>
      <c r="J479" s="22">
        <f t="shared" si="14"/>
        <v>0</v>
      </c>
      <c r="K479" s="20">
        <f t="shared" si="15"/>
        <v>1</v>
      </c>
    </row>
    <row r="480" spans="1:11" x14ac:dyDescent="0.35">
      <c r="A480" s="20" t="s">
        <v>118</v>
      </c>
      <c r="B480" s="20" t="s">
        <v>163</v>
      </c>
      <c r="C480" s="20" t="s">
        <v>133</v>
      </c>
      <c r="D480" s="20" t="s">
        <v>903</v>
      </c>
      <c r="E480" s="20" t="s">
        <v>189</v>
      </c>
      <c r="F480" s="20" t="s">
        <v>904</v>
      </c>
      <c r="G480" s="20" t="s">
        <v>191</v>
      </c>
      <c r="H480" s="20">
        <v>1</v>
      </c>
      <c r="I480" s="20">
        <v>0</v>
      </c>
      <c r="J480" s="22">
        <f t="shared" si="14"/>
        <v>0</v>
      </c>
      <c r="K480" s="20">
        <f t="shared" si="15"/>
        <v>1</v>
      </c>
    </row>
    <row r="481" spans="1:11" x14ac:dyDescent="0.35">
      <c r="A481" s="20" t="s">
        <v>118</v>
      </c>
      <c r="B481" s="20" t="s">
        <v>163</v>
      </c>
      <c r="C481" s="20" t="s">
        <v>133</v>
      </c>
      <c r="D481" s="20" t="s">
        <v>905</v>
      </c>
      <c r="E481" s="20" t="s">
        <v>189</v>
      </c>
      <c r="F481" s="20" t="s">
        <v>906</v>
      </c>
      <c r="G481" s="20" t="s">
        <v>191</v>
      </c>
      <c r="H481" s="20">
        <v>1</v>
      </c>
      <c r="I481" s="20">
        <v>0</v>
      </c>
      <c r="J481" s="22">
        <f t="shared" si="14"/>
        <v>0</v>
      </c>
      <c r="K481" s="20">
        <f t="shared" si="15"/>
        <v>1</v>
      </c>
    </row>
    <row r="482" spans="1:11" x14ac:dyDescent="0.35">
      <c r="A482" s="20" t="s">
        <v>118</v>
      </c>
      <c r="B482" s="20" t="s">
        <v>163</v>
      </c>
      <c r="C482" s="20" t="s">
        <v>133</v>
      </c>
      <c r="D482" s="20" t="s">
        <v>907</v>
      </c>
      <c r="E482" s="20" t="s">
        <v>189</v>
      </c>
      <c r="F482" s="20" t="s">
        <v>908</v>
      </c>
      <c r="G482" s="20" t="s">
        <v>191</v>
      </c>
      <c r="H482" s="20">
        <v>1</v>
      </c>
      <c r="I482" s="20">
        <v>0</v>
      </c>
      <c r="J482" s="22">
        <f t="shared" si="14"/>
        <v>0</v>
      </c>
      <c r="K482" s="20">
        <f t="shared" si="15"/>
        <v>1</v>
      </c>
    </row>
    <row r="483" spans="1:11" x14ac:dyDescent="0.35">
      <c r="A483" s="20" t="s">
        <v>118</v>
      </c>
      <c r="B483" s="20" t="s">
        <v>163</v>
      </c>
      <c r="C483" s="20" t="s">
        <v>133</v>
      </c>
      <c r="D483" s="20" t="s">
        <v>875</v>
      </c>
      <c r="E483" s="20" t="s">
        <v>189</v>
      </c>
      <c r="F483" s="20" t="s">
        <v>909</v>
      </c>
      <c r="G483" s="20" t="s">
        <v>191</v>
      </c>
      <c r="H483" s="20">
        <v>1</v>
      </c>
      <c r="I483" s="20">
        <v>0</v>
      </c>
      <c r="J483" s="22">
        <f t="shared" si="14"/>
        <v>0</v>
      </c>
      <c r="K483" s="20">
        <f t="shared" si="15"/>
        <v>1</v>
      </c>
    </row>
    <row r="484" spans="1:11" x14ac:dyDescent="0.35">
      <c r="A484" s="20" t="s">
        <v>118</v>
      </c>
      <c r="B484" s="20" t="s">
        <v>163</v>
      </c>
      <c r="C484" s="20" t="s">
        <v>133</v>
      </c>
      <c r="D484" s="20" t="s">
        <v>910</v>
      </c>
      <c r="E484" s="20" t="s">
        <v>189</v>
      </c>
      <c r="F484" s="20" t="s">
        <v>637</v>
      </c>
      <c r="G484" s="20" t="s">
        <v>191</v>
      </c>
      <c r="H484" s="20">
        <v>1</v>
      </c>
      <c r="I484" s="20">
        <v>0</v>
      </c>
      <c r="J484" s="22">
        <f t="shared" ref="J484:J547" si="16">IFERROR(I484/H484,0)</f>
        <v>0</v>
      </c>
      <c r="K484" s="20">
        <f t="shared" ref="K484:K547" si="17">H484-I484</f>
        <v>1</v>
      </c>
    </row>
    <row r="485" spans="1:11" x14ac:dyDescent="0.35">
      <c r="A485" s="20" t="s">
        <v>118</v>
      </c>
      <c r="B485" s="20" t="s">
        <v>163</v>
      </c>
      <c r="C485" s="20" t="s">
        <v>133</v>
      </c>
      <c r="D485" s="20" t="s">
        <v>911</v>
      </c>
      <c r="E485" s="20" t="s">
        <v>189</v>
      </c>
      <c r="F485" s="20" t="s">
        <v>912</v>
      </c>
      <c r="G485" s="20" t="s">
        <v>191</v>
      </c>
      <c r="H485" s="20">
        <v>1</v>
      </c>
      <c r="I485" s="20">
        <v>0</v>
      </c>
      <c r="J485" s="22">
        <f t="shared" si="16"/>
        <v>0</v>
      </c>
      <c r="K485" s="20">
        <f t="shared" si="17"/>
        <v>1</v>
      </c>
    </row>
    <row r="486" spans="1:11" x14ac:dyDescent="0.35">
      <c r="A486" s="20" t="s">
        <v>118</v>
      </c>
      <c r="B486" s="20" t="s">
        <v>163</v>
      </c>
      <c r="C486" s="20" t="s">
        <v>133</v>
      </c>
      <c r="D486" s="20" t="s">
        <v>913</v>
      </c>
      <c r="E486" s="20" t="s">
        <v>189</v>
      </c>
      <c r="F486" s="20" t="s">
        <v>914</v>
      </c>
      <c r="G486" s="20" t="s">
        <v>191</v>
      </c>
      <c r="H486" s="20">
        <v>1</v>
      </c>
      <c r="I486" s="20">
        <v>0</v>
      </c>
      <c r="J486" s="22">
        <f t="shared" si="16"/>
        <v>0</v>
      </c>
      <c r="K486" s="20">
        <f t="shared" si="17"/>
        <v>1</v>
      </c>
    </row>
    <row r="487" spans="1:11" x14ac:dyDescent="0.35">
      <c r="A487" s="20" t="s">
        <v>118</v>
      </c>
      <c r="B487" s="20" t="s">
        <v>163</v>
      </c>
      <c r="C487" s="20" t="s">
        <v>133</v>
      </c>
      <c r="D487" s="20" t="s">
        <v>913</v>
      </c>
      <c r="E487" s="20" t="s">
        <v>189</v>
      </c>
      <c r="F487" s="20" t="s">
        <v>915</v>
      </c>
      <c r="G487" s="20" t="s">
        <v>191</v>
      </c>
      <c r="H487" s="20">
        <v>1</v>
      </c>
      <c r="I487" s="20">
        <v>0</v>
      </c>
      <c r="J487" s="22">
        <f t="shared" si="16"/>
        <v>0</v>
      </c>
      <c r="K487" s="20">
        <f t="shared" si="17"/>
        <v>1</v>
      </c>
    </row>
    <row r="488" spans="1:11" x14ac:dyDescent="0.35">
      <c r="A488" s="20" t="s">
        <v>118</v>
      </c>
      <c r="B488" s="20" t="s">
        <v>163</v>
      </c>
      <c r="C488" s="20" t="s">
        <v>133</v>
      </c>
      <c r="D488" s="20" t="s">
        <v>875</v>
      </c>
      <c r="E488" s="20" t="s">
        <v>189</v>
      </c>
      <c r="F488" s="20" t="s">
        <v>916</v>
      </c>
      <c r="G488" s="20" t="s">
        <v>191</v>
      </c>
      <c r="H488" s="20">
        <v>1</v>
      </c>
      <c r="I488" s="20">
        <v>0</v>
      </c>
      <c r="J488" s="22">
        <f t="shared" si="16"/>
        <v>0</v>
      </c>
      <c r="K488" s="20">
        <f t="shared" si="17"/>
        <v>1</v>
      </c>
    </row>
    <row r="489" spans="1:11" x14ac:dyDescent="0.35">
      <c r="A489" s="20" t="s">
        <v>118</v>
      </c>
      <c r="B489" s="20" t="s">
        <v>163</v>
      </c>
      <c r="C489" s="20" t="s">
        <v>133</v>
      </c>
      <c r="D489" s="20" t="s">
        <v>875</v>
      </c>
      <c r="E489" s="20" t="s">
        <v>189</v>
      </c>
      <c r="F489" s="20" t="s">
        <v>917</v>
      </c>
      <c r="G489" s="20" t="s">
        <v>191</v>
      </c>
      <c r="H489" s="20">
        <v>1</v>
      </c>
      <c r="I489" s="20">
        <v>0</v>
      </c>
      <c r="J489" s="22">
        <f t="shared" si="16"/>
        <v>0</v>
      </c>
      <c r="K489" s="20">
        <f t="shared" si="17"/>
        <v>1</v>
      </c>
    </row>
    <row r="490" spans="1:11" x14ac:dyDescent="0.35">
      <c r="A490" s="20" t="s">
        <v>118</v>
      </c>
      <c r="B490" s="20" t="s">
        <v>163</v>
      </c>
      <c r="C490" s="20" t="s">
        <v>133</v>
      </c>
      <c r="D490" s="20" t="s">
        <v>918</v>
      </c>
      <c r="E490" s="20" t="s">
        <v>189</v>
      </c>
      <c r="F490" s="20" t="s">
        <v>919</v>
      </c>
      <c r="G490" s="20" t="s">
        <v>191</v>
      </c>
      <c r="H490" s="20">
        <v>1</v>
      </c>
      <c r="I490" s="20">
        <v>0</v>
      </c>
      <c r="J490" s="22">
        <f t="shared" si="16"/>
        <v>0</v>
      </c>
      <c r="K490" s="20">
        <f t="shared" si="17"/>
        <v>1</v>
      </c>
    </row>
    <row r="491" spans="1:11" x14ac:dyDescent="0.35">
      <c r="A491" s="20" t="s">
        <v>118</v>
      </c>
      <c r="B491" s="20" t="s">
        <v>163</v>
      </c>
      <c r="C491" s="20" t="s">
        <v>133</v>
      </c>
      <c r="D491" s="20" t="s">
        <v>875</v>
      </c>
      <c r="E491" s="20" t="s">
        <v>189</v>
      </c>
      <c r="F491" s="20" t="s">
        <v>920</v>
      </c>
      <c r="G491" s="20" t="s">
        <v>191</v>
      </c>
      <c r="H491" s="20">
        <v>1</v>
      </c>
      <c r="I491" s="20">
        <v>0</v>
      </c>
      <c r="J491" s="22">
        <f t="shared" si="16"/>
        <v>0</v>
      </c>
      <c r="K491" s="20">
        <f t="shared" si="17"/>
        <v>1</v>
      </c>
    </row>
    <row r="492" spans="1:11" x14ac:dyDescent="0.35">
      <c r="A492" s="20" t="s">
        <v>118</v>
      </c>
      <c r="B492" s="20" t="s">
        <v>163</v>
      </c>
      <c r="C492" s="20" t="s">
        <v>133</v>
      </c>
      <c r="D492" s="20" t="s">
        <v>921</v>
      </c>
      <c r="E492" s="20" t="s">
        <v>189</v>
      </c>
      <c r="F492" s="20" t="s">
        <v>922</v>
      </c>
      <c r="G492" s="20" t="s">
        <v>191</v>
      </c>
      <c r="H492" s="20">
        <v>1</v>
      </c>
      <c r="I492" s="20">
        <v>0</v>
      </c>
      <c r="J492" s="22">
        <f t="shared" si="16"/>
        <v>0</v>
      </c>
      <c r="K492" s="20">
        <f t="shared" si="17"/>
        <v>1</v>
      </c>
    </row>
    <row r="493" spans="1:11" x14ac:dyDescent="0.35">
      <c r="A493" s="20" t="s">
        <v>118</v>
      </c>
      <c r="B493" s="20" t="s">
        <v>163</v>
      </c>
      <c r="C493" s="20" t="s">
        <v>133</v>
      </c>
      <c r="D493" s="20" t="s">
        <v>923</v>
      </c>
      <c r="E493" s="20" t="s">
        <v>189</v>
      </c>
      <c r="F493" s="20" t="s">
        <v>924</v>
      </c>
      <c r="G493" s="20" t="s">
        <v>191</v>
      </c>
      <c r="H493" s="20">
        <v>1</v>
      </c>
      <c r="I493" s="20">
        <v>0</v>
      </c>
      <c r="J493" s="22">
        <f t="shared" si="16"/>
        <v>0</v>
      </c>
      <c r="K493" s="20">
        <f t="shared" si="17"/>
        <v>1</v>
      </c>
    </row>
    <row r="494" spans="1:11" x14ac:dyDescent="0.35">
      <c r="A494" s="20" t="s">
        <v>118</v>
      </c>
      <c r="B494" s="20" t="s">
        <v>163</v>
      </c>
      <c r="C494" s="20" t="s">
        <v>133</v>
      </c>
      <c r="D494" s="20" t="s">
        <v>925</v>
      </c>
      <c r="E494" s="20" t="s">
        <v>189</v>
      </c>
      <c r="F494" s="20" t="s">
        <v>926</v>
      </c>
      <c r="G494" s="20" t="s">
        <v>191</v>
      </c>
      <c r="H494" s="20">
        <v>1</v>
      </c>
      <c r="I494" s="20">
        <v>0</v>
      </c>
      <c r="J494" s="22">
        <f t="shared" si="16"/>
        <v>0</v>
      </c>
      <c r="K494" s="20">
        <f t="shared" si="17"/>
        <v>1</v>
      </c>
    </row>
    <row r="495" spans="1:11" x14ac:dyDescent="0.35">
      <c r="A495" s="20" t="s">
        <v>118</v>
      </c>
      <c r="B495" s="20" t="s">
        <v>163</v>
      </c>
      <c r="C495" s="20" t="s">
        <v>133</v>
      </c>
      <c r="D495" s="20" t="s">
        <v>927</v>
      </c>
      <c r="E495" s="20" t="s">
        <v>189</v>
      </c>
      <c r="F495" s="20" t="s">
        <v>928</v>
      </c>
      <c r="G495" s="20" t="s">
        <v>191</v>
      </c>
      <c r="H495" s="20">
        <v>1</v>
      </c>
      <c r="I495" s="20">
        <v>0</v>
      </c>
      <c r="J495" s="22">
        <f t="shared" si="16"/>
        <v>0</v>
      </c>
      <c r="K495" s="20">
        <f t="shared" si="17"/>
        <v>1</v>
      </c>
    </row>
    <row r="496" spans="1:11" x14ac:dyDescent="0.35">
      <c r="A496" s="20" t="s">
        <v>118</v>
      </c>
      <c r="B496" s="20" t="s">
        <v>163</v>
      </c>
      <c r="C496" s="20" t="s">
        <v>133</v>
      </c>
      <c r="D496" s="20" t="s">
        <v>929</v>
      </c>
      <c r="E496" s="20" t="s">
        <v>189</v>
      </c>
      <c r="F496" s="20" t="s">
        <v>930</v>
      </c>
      <c r="G496" s="20" t="s">
        <v>191</v>
      </c>
      <c r="H496" s="20">
        <v>1</v>
      </c>
      <c r="I496" s="20">
        <v>0</v>
      </c>
      <c r="J496" s="22">
        <f t="shared" si="16"/>
        <v>0</v>
      </c>
      <c r="K496" s="20">
        <f t="shared" si="17"/>
        <v>1</v>
      </c>
    </row>
    <row r="497" spans="1:11" ht="25" x14ac:dyDescent="0.35">
      <c r="A497" s="20" t="s">
        <v>118</v>
      </c>
      <c r="B497" s="20" t="s">
        <v>163</v>
      </c>
      <c r="C497" s="20" t="s">
        <v>133</v>
      </c>
      <c r="D497" s="20" t="s">
        <v>931</v>
      </c>
      <c r="E497" s="20" t="s">
        <v>189</v>
      </c>
      <c r="F497" s="20" t="s">
        <v>932</v>
      </c>
      <c r="G497" s="20" t="s">
        <v>191</v>
      </c>
      <c r="H497" s="20">
        <v>1</v>
      </c>
      <c r="I497" s="20">
        <v>0</v>
      </c>
      <c r="J497" s="22">
        <f t="shared" si="16"/>
        <v>0</v>
      </c>
      <c r="K497" s="20">
        <f t="shared" si="17"/>
        <v>1</v>
      </c>
    </row>
    <row r="498" spans="1:11" x14ac:dyDescent="0.35">
      <c r="A498" s="20" t="s">
        <v>118</v>
      </c>
      <c r="B498" s="20" t="s">
        <v>163</v>
      </c>
      <c r="C498" s="20" t="s">
        <v>133</v>
      </c>
      <c r="D498" s="20" t="s">
        <v>933</v>
      </c>
      <c r="E498" s="20" t="s">
        <v>189</v>
      </c>
      <c r="F498" s="20" t="s">
        <v>934</v>
      </c>
      <c r="G498" s="20" t="s">
        <v>191</v>
      </c>
      <c r="H498" s="20">
        <v>1</v>
      </c>
      <c r="I498" s="20">
        <v>0</v>
      </c>
      <c r="J498" s="22">
        <f t="shared" si="16"/>
        <v>0</v>
      </c>
      <c r="K498" s="20">
        <f t="shared" si="17"/>
        <v>1</v>
      </c>
    </row>
    <row r="499" spans="1:11" x14ac:dyDescent="0.35">
      <c r="A499" s="20" t="s">
        <v>118</v>
      </c>
      <c r="B499" s="20" t="s">
        <v>163</v>
      </c>
      <c r="C499" s="20" t="s">
        <v>133</v>
      </c>
      <c r="D499" s="20" t="s">
        <v>935</v>
      </c>
      <c r="E499" s="20" t="s">
        <v>189</v>
      </c>
      <c r="F499" s="20" t="s">
        <v>936</v>
      </c>
      <c r="G499" s="20" t="s">
        <v>191</v>
      </c>
      <c r="H499" s="20">
        <v>1</v>
      </c>
      <c r="I499" s="20">
        <v>0</v>
      </c>
      <c r="J499" s="22">
        <f t="shared" si="16"/>
        <v>0</v>
      </c>
      <c r="K499" s="20">
        <f t="shared" si="17"/>
        <v>1</v>
      </c>
    </row>
    <row r="500" spans="1:11" x14ac:dyDescent="0.35">
      <c r="A500" s="20" t="s">
        <v>118</v>
      </c>
      <c r="B500" s="20" t="s">
        <v>163</v>
      </c>
      <c r="C500" s="20" t="s">
        <v>133</v>
      </c>
      <c r="D500" s="20" t="s">
        <v>937</v>
      </c>
      <c r="E500" s="20" t="s">
        <v>189</v>
      </c>
      <c r="F500" s="20" t="s">
        <v>938</v>
      </c>
      <c r="G500" s="20" t="s">
        <v>191</v>
      </c>
      <c r="H500" s="20">
        <v>1</v>
      </c>
      <c r="I500" s="20">
        <v>0</v>
      </c>
      <c r="J500" s="22">
        <f t="shared" si="16"/>
        <v>0</v>
      </c>
      <c r="K500" s="20">
        <f t="shared" si="17"/>
        <v>1</v>
      </c>
    </row>
    <row r="501" spans="1:11" x14ac:dyDescent="0.35">
      <c r="A501" s="20" t="s">
        <v>118</v>
      </c>
      <c r="B501" s="20" t="s">
        <v>163</v>
      </c>
      <c r="C501" s="20" t="s">
        <v>133</v>
      </c>
      <c r="D501" s="20" t="s">
        <v>939</v>
      </c>
      <c r="E501" s="20" t="s">
        <v>189</v>
      </c>
      <c r="F501" s="20" t="s">
        <v>940</v>
      </c>
      <c r="G501" s="20" t="s">
        <v>191</v>
      </c>
      <c r="H501" s="20">
        <v>1</v>
      </c>
      <c r="I501" s="20">
        <v>0</v>
      </c>
      <c r="J501" s="22">
        <f t="shared" si="16"/>
        <v>0</v>
      </c>
      <c r="K501" s="20">
        <f t="shared" si="17"/>
        <v>1</v>
      </c>
    </row>
    <row r="502" spans="1:11" x14ac:dyDescent="0.35">
      <c r="A502" s="20" t="s">
        <v>118</v>
      </c>
      <c r="B502" s="20" t="s">
        <v>163</v>
      </c>
      <c r="C502" s="20" t="s">
        <v>133</v>
      </c>
      <c r="D502" s="20" t="s">
        <v>941</v>
      </c>
      <c r="E502" s="20" t="s">
        <v>189</v>
      </c>
      <c r="F502" s="20" t="s">
        <v>764</v>
      </c>
      <c r="G502" s="20" t="s">
        <v>191</v>
      </c>
      <c r="H502" s="20">
        <v>1</v>
      </c>
      <c r="I502" s="20">
        <v>0</v>
      </c>
      <c r="J502" s="22">
        <f t="shared" si="16"/>
        <v>0</v>
      </c>
      <c r="K502" s="20">
        <f t="shared" si="17"/>
        <v>1</v>
      </c>
    </row>
    <row r="503" spans="1:11" x14ac:dyDescent="0.35">
      <c r="A503" s="20" t="s">
        <v>118</v>
      </c>
      <c r="B503" s="20" t="s">
        <v>163</v>
      </c>
      <c r="C503" s="20" t="s">
        <v>133</v>
      </c>
      <c r="D503" s="20" t="s">
        <v>942</v>
      </c>
      <c r="E503" s="20" t="s">
        <v>189</v>
      </c>
      <c r="F503" s="20" t="s">
        <v>943</v>
      </c>
      <c r="G503" s="20" t="s">
        <v>191</v>
      </c>
      <c r="H503" s="20">
        <v>1</v>
      </c>
      <c r="I503" s="20">
        <v>0</v>
      </c>
      <c r="J503" s="22">
        <f t="shared" si="16"/>
        <v>0</v>
      </c>
      <c r="K503" s="20">
        <f t="shared" si="17"/>
        <v>1</v>
      </c>
    </row>
    <row r="504" spans="1:11" x14ac:dyDescent="0.35">
      <c r="A504" s="20" t="s">
        <v>118</v>
      </c>
      <c r="B504" s="20" t="s">
        <v>163</v>
      </c>
      <c r="C504" s="20" t="s">
        <v>133</v>
      </c>
      <c r="D504" s="20" t="s">
        <v>944</v>
      </c>
      <c r="E504" s="20" t="s">
        <v>189</v>
      </c>
      <c r="F504" s="20" t="s">
        <v>870</v>
      </c>
      <c r="G504" s="20" t="s">
        <v>191</v>
      </c>
      <c r="H504" s="20">
        <v>1</v>
      </c>
      <c r="I504" s="20">
        <v>0</v>
      </c>
      <c r="J504" s="22">
        <f t="shared" si="16"/>
        <v>0</v>
      </c>
      <c r="K504" s="20">
        <f t="shared" si="17"/>
        <v>1</v>
      </c>
    </row>
    <row r="505" spans="1:11" x14ac:dyDescent="0.35">
      <c r="A505" s="20" t="s">
        <v>118</v>
      </c>
      <c r="B505" s="20" t="s">
        <v>163</v>
      </c>
      <c r="C505" s="20" t="s">
        <v>133</v>
      </c>
      <c r="D505" s="20" t="s">
        <v>945</v>
      </c>
      <c r="E505" s="20" t="s">
        <v>189</v>
      </c>
      <c r="F505" s="20" t="s">
        <v>946</v>
      </c>
      <c r="G505" s="20" t="s">
        <v>191</v>
      </c>
      <c r="H505" s="20">
        <v>1</v>
      </c>
      <c r="I505" s="20">
        <v>0</v>
      </c>
      <c r="J505" s="22">
        <f t="shared" si="16"/>
        <v>0</v>
      </c>
      <c r="K505" s="20">
        <f t="shared" si="17"/>
        <v>1</v>
      </c>
    </row>
    <row r="506" spans="1:11" x14ac:dyDescent="0.35">
      <c r="A506" s="20" t="s">
        <v>118</v>
      </c>
      <c r="B506" s="20" t="s">
        <v>163</v>
      </c>
      <c r="C506" s="20" t="s">
        <v>133</v>
      </c>
      <c r="D506" s="20" t="s">
        <v>947</v>
      </c>
      <c r="E506" s="20" t="s">
        <v>189</v>
      </c>
      <c r="F506" s="20" t="s">
        <v>764</v>
      </c>
      <c r="G506" s="20" t="s">
        <v>191</v>
      </c>
      <c r="H506" s="20">
        <v>1</v>
      </c>
      <c r="I506" s="20">
        <v>0</v>
      </c>
      <c r="J506" s="22">
        <f t="shared" si="16"/>
        <v>0</v>
      </c>
      <c r="K506" s="20">
        <f t="shared" si="17"/>
        <v>1</v>
      </c>
    </row>
    <row r="507" spans="1:11" x14ac:dyDescent="0.35">
      <c r="A507" s="20" t="s">
        <v>118</v>
      </c>
      <c r="B507" s="20" t="s">
        <v>163</v>
      </c>
      <c r="C507" s="20" t="s">
        <v>133</v>
      </c>
      <c r="D507" s="20" t="s">
        <v>948</v>
      </c>
      <c r="E507" s="20" t="s">
        <v>189</v>
      </c>
      <c r="F507" s="20" t="s">
        <v>949</v>
      </c>
      <c r="G507" s="20" t="s">
        <v>191</v>
      </c>
      <c r="H507" s="20">
        <v>1</v>
      </c>
      <c r="I507" s="20">
        <v>0</v>
      </c>
      <c r="J507" s="22">
        <f t="shared" si="16"/>
        <v>0</v>
      </c>
      <c r="K507" s="20">
        <f t="shared" si="17"/>
        <v>1</v>
      </c>
    </row>
    <row r="508" spans="1:11" x14ac:dyDescent="0.35">
      <c r="A508" s="20" t="s">
        <v>118</v>
      </c>
      <c r="B508" s="20" t="s">
        <v>163</v>
      </c>
      <c r="C508" s="20" t="s">
        <v>133</v>
      </c>
      <c r="D508" s="20" t="s">
        <v>950</v>
      </c>
      <c r="E508" s="20" t="s">
        <v>189</v>
      </c>
      <c r="F508" s="20" t="s">
        <v>951</v>
      </c>
      <c r="G508" s="20" t="s">
        <v>191</v>
      </c>
      <c r="H508" s="20">
        <v>1</v>
      </c>
      <c r="I508" s="20">
        <v>0</v>
      </c>
      <c r="J508" s="22">
        <f t="shared" si="16"/>
        <v>0</v>
      </c>
      <c r="K508" s="20">
        <f t="shared" si="17"/>
        <v>1</v>
      </c>
    </row>
    <row r="509" spans="1:11" x14ac:dyDescent="0.35">
      <c r="A509" s="20" t="s">
        <v>118</v>
      </c>
      <c r="B509" s="20" t="s">
        <v>163</v>
      </c>
      <c r="C509" s="20" t="s">
        <v>133</v>
      </c>
      <c r="D509" s="20" t="s">
        <v>952</v>
      </c>
      <c r="E509" s="20" t="s">
        <v>189</v>
      </c>
      <c r="F509" s="20" t="s">
        <v>953</v>
      </c>
      <c r="G509" s="20" t="s">
        <v>191</v>
      </c>
      <c r="H509" s="20">
        <v>1</v>
      </c>
      <c r="I509" s="20">
        <v>0</v>
      </c>
      <c r="J509" s="22">
        <f t="shared" si="16"/>
        <v>0</v>
      </c>
      <c r="K509" s="20">
        <f t="shared" si="17"/>
        <v>1</v>
      </c>
    </row>
    <row r="510" spans="1:11" x14ac:dyDescent="0.35">
      <c r="A510" s="20" t="s">
        <v>118</v>
      </c>
      <c r="B510" s="20" t="s">
        <v>163</v>
      </c>
      <c r="C510" s="20" t="s">
        <v>133</v>
      </c>
      <c r="D510" s="20" t="s">
        <v>954</v>
      </c>
      <c r="E510" s="20" t="s">
        <v>189</v>
      </c>
      <c r="F510" s="20" t="s">
        <v>955</v>
      </c>
      <c r="G510" s="20" t="s">
        <v>191</v>
      </c>
      <c r="H510" s="20">
        <v>1</v>
      </c>
      <c r="I510" s="20">
        <v>0</v>
      </c>
      <c r="J510" s="22">
        <f t="shared" si="16"/>
        <v>0</v>
      </c>
      <c r="K510" s="20">
        <f t="shared" si="17"/>
        <v>1</v>
      </c>
    </row>
    <row r="511" spans="1:11" x14ac:dyDescent="0.35">
      <c r="A511" s="20" t="s">
        <v>118</v>
      </c>
      <c r="B511" s="20" t="s">
        <v>163</v>
      </c>
      <c r="C511" s="20" t="s">
        <v>133</v>
      </c>
      <c r="D511" s="20" t="s">
        <v>956</v>
      </c>
      <c r="E511" s="20" t="s">
        <v>189</v>
      </c>
      <c r="F511" s="20" t="s">
        <v>957</v>
      </c>
      <c r="G511" s="20" t="s">
        <v>191</v>
      </c>
      <c r="H511" s="20">
        <v>1</v>
      </c>
      <c r="I511" s="20">
        <v>0</v>
      </c>
      <c r="J511" s="22">
        <f t="shared" si="16"/>
        <v>0</v>
      </c>
      <c r="K511" s="20">
        <f t="shared" si="17"/>
        <v>1</v>
      </c>
    </row>
    <row r="512" spans="1:11" x14ac:dyDescent="0.35">
      <c r="A512" s="20" t="s">
        <v>118</v>
      </c>
      <c r="B512" s="20" t="s">
        <v>163</v>
      </c>
      <c r="C512" s="20" t="s">
        <v>133</v>
      </c>
      <c r="D512" s="20" t="s">
        <v>958</v>
      </c>
      <c r="E512" s="20" t="s">
        <v>189</v>
      </c>
      <c r="F512" s="20" t="s">
        <v>959</v>
      </c>
      <c r="G512" s="20" t="s">
        <v>191</v>
      </c>
      <c r="H512" s="20">
        <v>1</v>
      </c>
      <c r="I512" s="20">
        <v>0</v>
      </c>
      <c r="J512" s="22">
        <f t="shared" si="16"/>
        <v>0</v>
      </c>
      <c r="K512" s="20">
        <f t="shared" si="17"/>
        <v>1</v>
      </c>
    </row>
    <row r="513" spans="1:11" x14ac:dyDescent="0.35">
      <c r="A513" s="20" t="s">
        <v>118</v>
      </c>
      <c r="B513" s="20" t="s">
        <v>163</v>
      </c>
      <c r="C513" s="20" t="s">
        <v>133</v>
      </c>
      <c r="D513" s="20" t="s">
        <v>960</v>
      </c>
      <c r="E513" s="20" t="s">
        <v>189</v>
      </c>
      <c r="F513" s="20" t="s">
        <v>961</v>
      </c>
      <c r="G513" s="20" t="s">
        <v>191</v>
      </c>
      <c r="H513" s="20">
        <v>1</v>
      </c>
      <c r="I513" s="20">
        <v>0</v>
      </c>
      <c r="J513" s="22">
        <f t="shared" si="16"/>
        <v>0</v>
      </c>
      <c r="K513" s="20">
        <f t="shared" si="17"/>
        <v>1</v>
      </c>
    </row>
    <row r="514" spans="1:11" x14ac:dyDescent="0.35">
      <c r="A514" s="20" t="s">
        <v>118</v>
      </c>
      <c r="B514" s="20" t="s">
        <v>163</v>
      </c>
      <c r="C514" s="20" t="s">
        <v>133</v>
      </c>
      <c r="D514" s="20" t="s">
        <v>962</v>
      </c>
      <c r="E514" s="20" t="s">
        <v>189</v>
      </c>
      <c r="F514" s="20" t="s">
        <v>963</v>
      </c>
      <c r="G514" s="20" t="s">
        <v>191</v>
      </c>
      <c r="H514" s="20">
        <v>1</v>
      </c>
      <c r="I514" s="20">
        <v>0</v>
      </c>
      <c r="J514" s="22">
        <f t="shared" si="16"/>
        <v>0</v>
      </c>
      <c r="K514" s="20">
        <f t="shared" si="17"/>
        <v>1</v>
      </c>
    </row>
    <row r="515" spans="1:11" x14ac:dyDescent="0.35">
      <c r="A515" s="20" t="s">
        <v>118</v>
      </c>
      <c r="B515" s="20" t="s">
        <v>163</v>
      </c>
      <c r="C515" s="20" t="s">
        <v>133</v>
      </c>
      <c r="D515" s="20" t="s">
        <v>964</v>
      </c>
      <c r="E515" s="20" t="s">
        <v>189</v>
      </c>
      <c r="F515" s="20" t="s">
        <v>965</v>
      </c>
      <c r="G515" s="20" t="s">
        <v>191</v>
      </c>
      <c r="H515" s="20">
        <v>1</v>
      </c>
      <c r="I515" s="20">
        <v>0</v>
      </c>
      <c r="J515" s="22">
        <f t="shared" si="16"/>
        <v>0</v>
      </c>
      <c r="K515" s="20">
        <f t="shared" si="17"/>
        <v>1</v>
      </c>
    </row>
    <row r="516" spans="1:11" x14ac:dyDescent="0.35">
      <c r="A516" s="20" t="s">
        <v>118</v>
      </c>
      <c r="B516" s="20" t="s">
        <v>163</v>
      </c>
      <c r="C516" s="20" t="s">
        <v>133</v>
      </c>
      <c r="D516" s="20" t="s">
        <v>966</v>
      </c>
      <c r="E516" s="20" t="s">
        <v>189</v>
      </c>
      <c r="F516" s="20" t="s">
        <v>967</v>
      </c>
      <c r="G516" s="20" t="s">
        <v>191</v>
      </c>
      <c r="H516" s="20">
        <v>1</v>
      </c>
      <c r="I516" s="20">
        <v>0</v>
      </c>
      <c r="J516" s="22">
        <f t="shared" si="16"/>
        <v>0</v>
      </c>
      <c r="K516" s="20">
        <f t="shared" si="17"/>
        <v>1</v>
      </c>
    </row>
    <row r="517" spans="1:11" x14ac:dyDescent="0.35">
      <c r="A517" s="20" t="s">
        <v>118</v>
      </c>
      <c r="B517" s="20" t="s">
        <v>163</v>
      </c>
      <c r="C517" s="20" t="s">
        <v>133</v>
      </c>
      <c r="D517" s="20" t="s">
        <v>968</v>
      </c>
      <c r="E517" s="20" t="s">
        <v>189</v>
      </c>
      <c r="F517" s="20" t="s">
        <v>969</v>
      </c>
      <c r="G517" s="20" t="s">
        <v>191</v>
      </c>
      <c r="H517" s="20">
        <v>1</v>
      </c>
      <c r="I517" s="20">
        <v>0</v>
      </c>
      <c r="J517" s="22">
        <f t="shared" si="16"/>
        <v>0</v>
      </c>
      <c r="K517" s="20">
        <f t="shared" si="17"/>
        <v>1</v>
      </c>
    </row>
    <row r="518" spans="1:11" x14ac:dyDescent="0.35">
      <c r="A518" s="20" t="s">
        <v>118</v>
      </c>
      <c r="B518" s="20" t="s">
        <v>163</v>
      </c>
      <c r="C518" s="20" t="s">
        <v>133</v>
      </c>
      <c r="D518" s="20" t="s">
        <v>970</v>
      </c>
      <c r="E518" s="20" t="s">
        <v>189</v>
      </c>
      <c r="F518" s="20" t="s">
        <v>971</v>
      </c>
      <c r="G518" s="20" t="s">
        <v>191</v>
      </c>
      <c r="H518" s="20">
        <v>1</v>
      </c>
      <c r="I518" s="20">
        <v>0</v>
      </c>
      <c r="J518" s="22">
        <f t="shared" si="16"/>
        <v>0</v>
      </c>
      <c r="K518" s="20">
        <f t="shared" si="17"/>
        <v>1</v>
      </c>
    </row>
    <row r="519" spans="1:11" ht="19" customHeight="1" x14ac:dyDescent="0.35">
      <c r="A519" s="20" t="s">
        <v>118</v>
      </c>
      <c r="B519" s="20" t="s">
        <v>163</v>
      </c>
      <c r="C519" s="20" t="s">
        <v>133</v>
      </c>
      <c r="D519" s="20" t="s">
        <v>972</v>
      </c>
      <c r="E519" s="20" t="s">
        <v>189</v>
      </c>
      <c r="F519" s="20" t="s">
        <v>973</v>
      </c>
      <c r="G519" s="20" t="s">
        <v>191</v>
      </c>
      <c r="H519" s="20">
        <v>1</v>
      </c>
      <c r="I519" s="20">
        <v>0</v>
      </c>
      <c r="J519" s="22">
        <f t="shared" si="16"/>
        <v>0</v>
      </c>
      <c r="K519" s="20">
        <f t="shared" si="17"/>
        <v>1</v>
      </c>
    </row>
    <row r="520" spans="1:11" x14ac:dyDescent="0.35">
      <c r="A520" s="20" t="s">
        <v>118</v>
      </c>
      <c r="B520" s="20" t="s">
        <v>163</v>
      </c>
      <c r="C520" s="20" t="s">
        <v>133</v>
      </c>
      <c r="D520" s="20" t="s">
        <v>974</v>
      </c>
      <c r="E520" s="20" t="s">
        <v>189</v>
      </c>
      <c r="F520" s="20" t="s">
        <v>975</v>
      </c>
      <c r="G520" s="20" t="s">
        <v>191</v>
      </c>
      <c r="H520" s="20">
        <v>1</v>
      </c>
      <c r="I520" s="20">
        <v>0</v>
      </c>
      <c r="J520" s="22">
        <f t="shared" si="16"/>
        <v>0</v>
      </c>
      <c r="K520" s="20">
        <f t="shared" si="17"/>
        <v>1</v>
      </c>
    </row>
    <row r="521" spans="1:11" x14ac:dyDescent="0.35">
      <c r="A521" s="20" t="s">
        <v>118</v>
      </c>
      <c r="B521" s="20" t="s">
        <v>163</v>
      </c>
      <c r="C521" s="20" t="s">
        <v>133</v>
      </c>
      <c r="D521" s="20" t="s">
        <v>976</v>
      </c>
      <c r="E521" s="20" t="s">
        <v>189</v>
      </c>
      <c r="F521" s="20" t="s">
        <v>977</v>
      </c>
      <c r="G521" s="20" t="s">
        <v>191</v>
      </c>
      <c r="H521" s="20">
        <v>1</v>
      </c>
      <c r="I521" s="20">
        <v>0</v>
      </c>
      <c r="J521" s="22">
        <f t="shared" si="16"/>
        <v>0</v>
      </c>
      <c r="K521" s="20">
        <f t="shared" si="17"/>
        <v>1</v>
      </c>
    </row>
    <row r="522" spans="1:11" ht="18" customHeight="1" x14ac:dyDescent="0.35">
      <c r="A522" s="20" t="s">
        <v>118</v>
      </c>
      <c r="B522" s="20" t="s">
        <v>163</v>
      </c>
      <c r="C522" s="20" t="s">
        <v>133</v>
      </c>
      <c r="D522" s="20" t="s">
        <v>978</v>
      </c>
      <c r="E522" s="20" t="s">
        <v>189</v>
      </c>
      <c r="F522" s="20" t="s">
        <v>979</v>
      </c>
      <c r="G522" s="20" t="s">
        <v>191</v>
      </c>
      <c r="H522" s="20">
        <v>1</v>
      </c>
      <c r="I522" s="20">
        <v>0</v>
      </c>
      <c r="J522" s="22">
        <f t="shared" si="16"/>
        <v>0</v>
      </c>
      <c r="K522" s="20">
        <f t="shared" si="17"/>
        <v>1</v>
      </c>
    </row>
    <row r="523" spans="1:11" x14ac:dyDescent="0.35">
      <c r="A523" s="20" t="s">
        <v>118</v>
      </c>
      <c r="B523" s="20" t="s">
        <v>163</v>
      </c>
      <c r="C523" s="20" t="s">
        <v>133</v>
      </c>
      <c r="D523" s="20" t="s">
        <v>980</v>
      </c>
      <c r="E523" s="20" t="s">
        <v>189</v>
      </c>
      <c r="F523" s="20" t="s">
        <v>981</v>
      </c>
      <c r="G523" s="20" t="s">
        <v>191</v>
      </c>
      <c r="H523" s="20">
        <v>1</v>
      </c>
      <c r="I523" s="20">
        <v>0</v>
      </c>
      <c r="J523" s="22">
        <f t="shared" si="16"/>
        <v>0</v>
      </c>
      <c r="K523" s="20">
        <f t="shared" si="17"/>
        <v>1</v>
      </c>
    </row>
    <row r="524" spans="1:11" x14ac:dyDescent="0.35">
      <c r="A524" s="20" t="s">
        <v>118</v>
      </c>
      <c r="B524" s="20" t="s">
        <v>163</v>
      </c>
      <c r="C524" s="20" t="s">
        <v>133</v>
      </c>
      <c r="D524" s="20" t="s">
        <v>982</v>
      </c>
      <c r="E524" s="20" t="s">
        <v>189</v>
      </c>
      <c r="F524" s="20" t="s">
        <v>983</v>
      </c>
      <c r="G524" s="20" t="s">
        <v>191</v>
      </c>
      <c r="H524" s="20">
        <v>1</v>
      </c>
      <c r="I524" s="20">
        <v>0</v>
      </c>
      <c r="J524" s="22">
        <f t="shared" si="16"/>
        <v>0</v>
      </c>
      <c r="K524" s="20">
        <f t="shared" si="17"/>
        <v>1</v>
      </c>
    </row>
    <row r="525" spans="1:11" x14ac:dyDescent="0.35">
      <c r="A525" s="20" t="s">
        <v>118</v>
      </c>
      <c r="B525" s="20" t="s">
        <v>163</v>
      </c>
      <c r="C525" s="20" t="s">
        <v>133</v>
      </c>
      <c r="D525" s="20" t="s">
        <v>956</v>
      </c>
      <c r="E525" s="20" t="s">
        <v>189</v>
      </c>
      <c r="F525" s="20" t="s">
        <v>984</v>
      </c>
      <c r="G525" s="20" t="s">
        <v>191</v>
      </c>
      <c r="H525" s="20">
        <v>1</v>
      </c>
      <c r="I525" s="20">
        <v>0</v>
      </c>
      <c r="J525" s="22">
        <f t="shared" si="16"/>
        <v>0</v>
      </c>
      <c r="K525" s="20">
        <f t="shared" si="17"/>
        <v>1</v>
      </c>
    </row>
    <row r="526" spans="1:11" x14ac:dyDescent="0.35">
      <c r="A526" s="20" t="s">
        <v>118</v>
      </c>
      <c r="B526" s="20" t="s">
        <v>163</v>
      </c>
      <c r="C526" s="20" t="s">
        <v>133</v>
      </c>
      <c r="D526" s="20" t="s">
        <v>985</v>
      </c>
      <c r="E526" s="20" t="s">
        <v>189</v>
      </c>
      <c r="F526" s="20" t="s">
        <v>986</v>
      </c>
      <c r="G526" s="20" t="s">
        <v>191</v>
      </c>
      <c r="H526" s="20">
        <v>1</v>
      </c>
      <c r="I526" s="20">
        <v>0</v>
      </c>
      <c r="J526" s="22">
        <f t="shared" si="16"/>
        <v>0</v>
      </c>
      <c r="K526" s="20">
        <f t="shared" si="17"/>
        <v>1</v>
      </c>
    </row>
    <row r="527" spans="1:11" x14ac:dyDescent="0.35">
      <c r="A527" s="20" t="s">
        <v>118</v>
      </c>
      <c r="B527" s="20" t="s">
        <v>163</v>
      </c>
      <c r="C527" s="20" t="s">
        <v>133</v>
      </c>
      <c r="D527" s="20" t="s">
        <v>987</v>
      </c>
      <c r="E527" s="20" t="s">
        <v>189</v>
      </c>
      <c r="F527" s="20" t="s">
        <v>988</v>
      </c>
      <c r="G527" s="20" t="s">
        <v>191</v>
      </c>
      <c r="H527" s="20">
        <v>1</v>
      </c>
      <c r="I527" s="20">
        <v>0</v>
      </c>
      <c r="J527" s="22">
        <f t="shared" si="16"/>
        <v>0</v>
      </c>
      <c r="K527" s="20">
        <f t="shared" si="17"/>
        <v>1</v>
      </c>
    </row>
    <row r="528" spans="1:11" x14ac:dyDescent="0.35">
      <c r="A528" s="20" t="s">
        <v>118</v>
      </c>
      <c r="B528" s="20" t="s">
        <v>163</v>
      </c>
      <c r="C528" s="20" t="s">
        <v>133</v>
      </c>
      <c r="D528" s="20" t="s">
        <v>989</v>
      </c>
      <c r="E528" s="20" t="s">
        <v>189</v>
      </c>
      <c r="F528" s="20" t="s">
        <v>990</v>
      </c>
      <c r="G528" s="20" t="s">
        <v>191</v>
      </c>
      <c r="H528" s="20">
        <v>1</v>
      </c>
      <c r="I528" s="20">
        <v>0</v>
      </c>
      <c r="J528" s="22">
        <f t="shared" si="16"/>
        <v>0</v>
      </c>
      <c r="K528" s="20">
        <f t="shared" si="17"/>
        <v>1</v>
      </c>
    </row>
    <row r="529" spans="1:11" x14ac:dyDescent="0.35">
      <c r="A529" s="20" t="s">
        <v>118</v>
      </c>
      <c r="B529" s="20" t="s">
        <v>163</v>
      </c>
      <c r="C529" s="20" t="s">
        <v>133</v>
      </c>
      <c r="D529" s="20" t="s">
        <v>991</v>
      </c>
      <c r="E529" s="20" t="s">
        <v>189</v>
      </c>
      <c r="F529" s="20" t="s">
        <v>637</v>
      </c>
      <c r="G529" s="20" t="s">
        <v>191</v>
      </c>
      <c r="H529" s="20">
        <v>1</v>
      </c>
      <c r="I529" s="20">
        <v>0</v>
      </c>
      <c r="J529" s="22">
        <f t="shared" si="16"/>
        <v>0</v>
      </c>
      <c r="K529" s="20">
        <f t="shared" si="17"/>
        <v>1</v>
      </c>
    </row>
    <row r="530" spans="1:11" x14ac:dyDescent="0.35">
      <c r="A530" s="20" t="s">
        <v>118</v>
      </c>
      <c r="B530" s="20" t="s">
        <v>163</v>
      </c>
      <c r="C530" s="20" t="s">
        <v>133</v>
      </c>
      <c r="D530" s="20" t="s">
        <v>987</v>
      </c>
      <c r="E530" s="20" t="s">
        <v>189</v>
      </c>
      <c r="F530" s="20" t="s">
        <v>992</v>
      </c>
      <c r="G530" s="20" t="s">
        <v>191</v>
      </c>
      <c r="H530" s="20">
        <v>1</v>
      </c>
      <c r="I530" s="20">
        <v>0</v>
      </c>
      <c r="J530" s="22">
        <f t="shared" si="16"/>
        <v>0</v>
      </c>
      <c r="K530" s="20">
        <f t="shared" si="17"/>
        <v>1</v>
      </c>
    </row>
    <row r="531" spans="1:11" x14ac:dyDescent="0.35">
      <c r="A531" s="20" t="s">
        <v>118</v>
      </c>
      <c r="B531" s="20" t="s">
        <v>163</v>
      </c>
      <c r="C531" s="20" t="s">
        <v>133</v>
      </c>
      <c r="D531" s="20" t="s">
        <v>719</v>
      </c>
      <c r="E531" s="20" t="s">
        <v>189</v>
      </c>
      <c r="F531" s="20" t="s">
        <v>993</v>
      </c>
      <c r="G531" s="20" t="s">
        <v>191</v>
      </c>
      <c r="H531" s="20">
        <v>1</v>
      </c>
      <c r="I531" s="20">
        <v>0</v>
      </c>
      <c r="J531" s="22">
        <f t="shared" si="16"/>
        <v>0</v>
      </c>
      <c r="K531" s="20">
        <f t="shared" si="17"/>
        <v>1</v>
      </c>
    </row>
    <row r="532" spans="1:11" x14ac:dyDescent="0.35">
      <c r="A532" s="20" t="s">
        <v>118</v>
      </c>
      <c r="B532" s="20" t="s">
        <v>163</v>
      </c>
      <c r="C532" s="20" t="s">
        <v>133</v>
      </c>
      <c r="D532" s="20" t="s">
        <v>994</v>
      </c>
      <c r="E532" s="20" t="s">
        <v>189</v>
      </c>
      <c r="F532" s="20" t="s">
        <v>995</v>
      </c>
      <c r="G532" s="20" t="s">
        <v>191</v>
      </c>
      <c r="H532" s="20">
        <v>1</v>
      </c>
      <c r="I532" s="20">
        <v>0</v>
      </c>
      <c r="J532" s="22">
        <f t="shared" si="16"/>
        <v>0</v>
      </c>
      <c r="K532" s="20">
        <f t="shared" si="17"/>
        <v>1</v>
      </c>
    </row>
    <row r="533" spans="1:11" x14ac:dyDescent="0.35">
      <c r="A533" s="20" t="s">
        <v>118</v>
      </c>
      <c r="B533" s="20" t="s">
        <v>163</v>
      </c>
      <c r="C533" s="20" t="s">
        <v>133</v>
      </c>
      <c r="D533" s="20" t="s">
        <v>996</v>
      </c>
      <c r="E533" s="20" t="s">
        <v>189</v>
      </c>
      <c r="F533" s="20" t="s">
        <v>997</v>
      </c>
      <c r="G533" s="20" t="s">
        <v>191</v>
      </c>
      <c r="H533" s="20">
        <v>1</v>
      </c>
      <c r="I533" s="20">
        <v>0</v>
      </c>
      <c r="J533" s="22">
        <f t="shared" si="16"/>
        <v>0</v>
      </c>
      <c r="K533" s="20">
        <f t="shared" si="17"/>
        <v>1</v>
      </c>
    </row>
    <row r="534" spans="1:11" ht="25" x14ac:dyDescent="0.35">
      <c r="A534" s="20" t="s">
        <v>118</v>
      </c>
      <c r="B534" s="20" t="s">
        <v>163</v>
      </c>
      <c r="C534" s="20" t="s">
        <v>133</v>
      </c>
      <c r="D534" s="20" t="s">
        <v>998</v>
      </c>
      <c r="E534" s="20" t="s">
        <v>189</v>
      </c>
      <c r="F534" s="20" t="s">
        <v>999</v>
      </c>
      <c r="G534" s="20" t="s">
        <v>191</v>
      </c>
      <c r="H534" s="20">
        <v>1</v>
      </c>
      <c r="I534" s="20">
        <v>0</v>
      </c>
      <c r="J534" s="22">
        <f t="shared" si="16"/>
        <v>0</v>
      </c>
      <c r="K534" s="20">
        <f t="shared" si="17"/>
        <v>1</v>
      </c>
    </row>
    <row r="535" spans="1:11" x14ac:dyDescent="0.35">
      <c r="A535" s="20" t="s">
        <v>118</v>
      </c>
      <c r="B535" s="20" t="s">
        <v>163</v>
      </c>
      <c r="C535" s="20" t="s">
        <v>133</v>
      </c>
      <c r="D535" s="20" t="s">
        <v>1000</v>
      </c>
      <c r="E535" s="20" t="s">
        <v>189</v>
      </c>
      <c r="F535" s="20" t="s">
        <v>1001</v>
      </c>
      <c r="G535" s="20" t="s">
        <v>191</v>
      </c>
      <c r="H535" s="20">
        <v>1</v>
      </c>
      <c r="I535" s="20">
        <v>0</v>
      </c>
      <c r="J535" s="22">
        <f t="shared" si="16"/>
        <v>0</v>
      </c>
      <c r="K535" s="20">
        <f t="shared" si="17"/>
        <v>1</v>
      </c>
    </row>
    <row r="536" spans="1:11" x14ac:dyDescent="0.35">
      <c r="A536" s="20" t="s">
        <v>118</v>
      </c>
      <c r="B536" s="20" t="s">
        <v>163</v>
      </c>
      <c r="C536" s="20" t="s">
        <v>133</v>
      </c>
      <c r="D536" s="20" t="s">
        <v>1002</v>
      </c>
      <c r="E536" s="20" t="s">
        <v>189</v>
      </c>
      <c r="F536" s="20" t="s">
        <v>1003</v>
      </c>
      <c r="G536" s="20" t="s">
        <v>191</v>
      </c>
      <c r="H536" s="20">
        <v>1</v>
      </c>
      <c r="I536" s="20">
        <v>0</v>
      </c>
      <c r="J536" s="22">
        <f t="shared" si="16"/>
        <v>0</v>
      </c>
      <c r="K536" s="20">
        <f t="shared" si="17"/>
        <v>1</v>
      </c>
    </row>
    <row r="537" spans="1:11" x14ac:dyDescent="0.35">
      <c r="A537" s="20" t="s">
        <v>118</v>
      </c>
      <c r="B537" s="20" t="s">
        <v>163</v>
      </c>
      <c r="C537" s="20" t="s">
        <v>133</v>
      </c>
      <c r="D537" s="20" t="s">
        <v>1004</v>
      </c>
      <c r="E537" s="20" t="s">
        <v>189</v>
      </c>
      <c r="F537" s="20" t="s">
        <v>1005</v>
      </c>
      <c r="G537" s="20" t="s">
        <v>191</v>
      </c>
      <c r="H537" s="20">
        <v>1</v>
      </c>
      <c r="I537" s="20">
        <v>0</v>
      </c>
      <c r="J537" s="22">
        <f t="shared" si="16"/>
        <v>0</v>
      </c>
      <c r="K537" s="20">
        <f t="shared" si="17"/>
        <v>1</v>
      </c>
    </row>
    <row r="538" spans="1:11" x14ac:dyDescent="0.35">
      <c r="A538" s="20" t="s">
        <v>118</v>
      </c>
      <c r="B538" s="20" t="s">
        <v>163</v>
      </c>
      <c r="C538" s="20" t="s">
        <v>133</v>
      </c>
      <c r="D538" s="20" t="s">
        <v>1006</v>
      </c>
      <c r="E538" s="20" t="s">
        <v>189</v>
      </c>
      <c r="F538" s="20" t="s">
        <v>1007</v>
      </c>
      <c r="G538" s="20" t="s">
        <v>191</v>
      </c>
      <c r="H538" s="20">
        <v>1</v>
      </c>
      <c r="I538" s="20">
        <v>0</v>
      </c>
      <c r="J538" s="22">
        <f t="shared" si="16"/>
        <v>0</v>
      </c>
      <c r="K538" s="20">
        <f t="shared" si="17"/>
        <v>1</v>
      </c>
    </row>
    <row r="539" spans="1:11" x14ac:dyDescent="0.35">
      <c r="A539" s="20" t="s">
        <v>118</v>
      </c>
      <c r="B539" s="20" t="s">
        <v>163</v>
      </c>
      <c r="C539" s="20" t="s">
        <v>133</v>
      </c>
      <c r="D539" s="20" t="s">
        <v>1008</v>
      </c>
      <c r="E539" s="20" t="s">
        <v>189</v>
      </c>
      <c r="F539" s="20" t="s">
        <v>1009</v>
      </c>
      <c r="G539" s="20" t="s">
        <v>191</v>
      </c>
      <c r="H539" s="20">
        <v>1</v>
      </c>
      <c r="I539" s="20">
        <v>0</v>
      </c>
      <c r="J539" s="22">
        <f t="shared" si="16"/>
        <v>0</v>
      </c>
      <c r="K539" s="20">
        <f t="shared" si="17"/>
        <v>1</v>
      </c>
    </row>
    <row r="540" spans="1:11" x14ac:dyDescent="0.35">
      <c r="A540" s="20" t="s">
        <v>118</v>
      </c>
      <c r="B540" s="20" t="s">
        <v>163</v>
      </c>
      <c r="C540" s="20" t="s">
        <v>133</v>
      </c>
      <c r="D540" s="20" t="s">
        <v>1008</v>
      </c>
      <c r="E540" s="20" t="s">
        <v>189</v>
      </c>
      <c r="F540" s="20" t="s">
        <v>1010</v>
      </c>
      <c r="G540" s="20" t="s">
        <v>191</v>
      </c>
      <c r="H540" s="20">
        <v>1</v>
      </c>
      <c r="I540" s="20">
        <v>0</v>
      </c>
      <c r="J540" s="22">
        <f t="shared" si="16"/>
        <v>0</v>
      </c>
      <c r="K540" s="20">
        <f t="shared" si="17"/>
        <v>1</v>
      </c>
    </row>
    <row r="541" spans="1:11" x14ac:dyDescent="0.35">
      <c r="A541" s="20" t="s">
        <v>118</v>
      </c>
      <c r="B541" s="20" t="s">
        <v>163</v>
      </c>
      <c r="C541" s="20" t="s">
        <v>133</v>
      </c>
      <c r="D541" s="20" t="s">
        <v>1011</v>
      </c>
      <c r="E541" s="20" t="s">
        <v>189</v>
      </c>
      <c r="F541" s="20" t="s">
        <v>1012</v>
      </c>
      <c r="G541" s="20" t="s">
        <v>191</v>
      </c>
      <c r="H541" s="20">
        <v>1</v>
      </c>
      <c r="I541" s="20">
        <v>0</v>
      </c>
      <c r="J541" s="22">
        <f t="shared" si="16"/>
        <v>0</v>
      </c>
      <c r="K541" s="20">
        <f t="shared" si="17"/>
        <v>1</v>
      </c>
    </row>
    <row r="542" spans="1:11" x14ac:dyDescent="0.35">
      <c r="A542" s="20" t="s">
        <v>118</v>
      </c>
      <c r="B542" s="20" t="s">
        <v>163</v>
      </c>
      <c r="C542" s="20" t="s">
        <v>133</v>
      </c>
      <c r="D542" s="20" t="s">
        <v>1013</v>
      </c>
      <c r="E542" s="20" t="s">
        <v>189</v>
      </c>
      <c r="F542" s="20" t="s">
        <v>961</v>
      </c>
      <c r="G542" s="20" t="s">
        <v>191</v>
      </c>
      <c r="H542" s="20">
        <v>1</v>
      </c>
      <c r="I542" s="20">
        <v>0</v>
      </c>
      <c r="J542" s="22">
        <f t="shared" si="16"/>
        <v>0</v>
      </c>
      <c r="K542" s="20">
        <f t="shared" si="17"/>
        <v>1</v>
      </c>
    </row>
    <row r="543" spans="1:11" x14ac:dyDescent="0.35">
      <c r="A543" s="20" t="s">
        <v>118</v>
      </c>
      <c r="B543" s="20" t="s">
        <v>163</v>
      </c>
      <c r="C543" s="20" t="s">
        <v>133</v>
      </c>
      <c r="D543" s="20" t="s">
        <v>1014</v>
      </c>
      <c r="E543" s="20" t="s">
        <v>189</v>
      </c>
      <c r="F543" s="20" t="s">
        <v>1015</v>
      </c>
      <c r="G543" s="20" t="s">
        <v>191</v>
      </c>
      <c r="H543" s="20">
        <v>1</v>
      </c>
      <c r="I543" s="20">
        <v>0</v>
      </c>
      <c r="J543" s="22">
        <f t="shared" si="16"/>
        <v>0</v>
      </c>
      <c r="K543" s="20">
        <f t="shared" si="17"/>
        <v>1</v>
      </c>
    </row>
    <row r="544" spans="1:11" x14ac:dyDescent="0.35">
      <c r="A544" s="20" t="s">
        <v>118</v>
      </c>
      <c r="B544" s="20" t="s">
        <v>163</v>
      </c>
      <c r="C544" s="20" t="s">
        <v>133</v>
      </c>
      <c r="D544" s="20" t="s">
        <v>1016</v>
      </c>
      <c r="E544" s="20" t="s">
        <v>189</v>
      </c>
      <c r="F544" s="20" t="s">
        <v>1017</v>
      </c>
      <c r="G544" s="20" t="s">
        <v>191</v>
      </c>
      <c r="H544" s="20">
        <v>1</v>
      </c>
      <c r="I544" s="20">
        <v>0</v>
      </c>
      <c r="J544" s="22">
        <f t="shared" si="16"/>
        <v>0</v>
      </c>
      <c r="K544" s="20">
        <f t="shared" si="17"/>
        <v>1</v>
      </c>
    </row>
    <row r="545" spans="1:11" x14ac:dyDescent="0.35">
      <c r="A545" s="20" t="s">
        <v>118</v>
      </c>
      <c r="B545" s="20" t="s">
        <v>163</v>
      </c>
      <c r="C545" s="20" t="s">
        <v>133</v>
      </c>
      <c r="D545" s="20" t="s">
        <v>1018</v>
      </c>
      <c r="E545" s="20" t="s">
        <v>189</v>
      </c>
      <c r="F545" s="20" t="s">
        <v>1019</v>
      </c>
      <c r="G545" s="20" t="s">
        <v>191</v>
      </c>
      <c r="H545" s="20">
        <v>1</v>
      </c>
      <c r="I545" s="20">
        <v>0</v>
      </c>
      <c r="J545" s="22">
        <f t="shared" si="16"/>
        <v>0</v>
      </c>
      <c r="K545" s="20">
        <f t="shared" si="17"/>
        <v>1</v>
      </c>
    </row>
    <row r="546" spans="1:11" x14ac:dyDescent="0.35">
      <c r="A546" s="20" t="s">
        <v>118</v>
      </c>
      <c r="B546" s="20" t="s">
        <v>163</v>
      </c>
      <c r="C546" s="20" t="s">
        <v>133</v>
      </c>
      <c r="D546" s="20" t="s">
        <v>1020</v>
      </c>
      <c r="E546" s="20" t="s">
        <v>189</v>
      </c>
      <c r="F546" s="20" t="s">
        <v>1021</v>
      </c>
      <c r="G546" s="20" t="s">
        <v>191</v>
      </c>
      <c r="H546" s="20">
        <v>1</v>
      </c>
      <c r="I546" s="20">
        <v>0</v>
      </c>
      <c r="J546" s="22">
        <f t="shared" si="16"/>
        <v>0</v>
      </c>
      <c r="K546" s="20">
        <f t="shared" si="17"/>
        <v>1</v>
      </c>
    </row>
    <row r="547" spans="1:11" x14ac:dyDescent="0.35">
      <c r="A547" s="20" t="s">
        <v>118</v>
      </c>
      <c r="B547" s="20" t="s">
        <v>163</v>
      </c>
      <c r="C547" s="20" t="s">
        <v>133</v>
      </c>
      <c r="D547" s="20" t="s">
        <v>1022</v>
      </c>
      <c r="E547" s="20" t="s">
        <v>189</v>
      </c>
      <c r="F547" s="20" t="s">
        <v>1023</v>
      </c>
      <c r="G547" s="20" t="s">
        <v>191</v>
      </c>
      <c r="H547" s="20">
        <v>1</v>
      </c>
      <c r="I547" s="20">
        <v>0</v>
      </c>
      <c r="J547" s="22">
        <f t="shared" si="16"/>
        <v>0</v>
      </c>
      <c r="K547" s="20">
        <f t="shared" si="17"/>
        <v>1</v>
      </c>
    </row>
    <row r="548" spans="1:11" x14ac:dyDescent="0.35">
      <c r="A548" s="20" t="s">
        <v>118</v>
      </c>
      <c r="B548" s="20" t="s">
        <v>163</v>
      </c>
      <c r="C548" s="20" t="s">
        <v>133</v>
      </c>
      <c r="D548" s="20" t="s">
        <v>1024</v>
      </c>
      <c r="E548" s="20" t="s">
        <v>189</v>
      </c>
      <c r="F548" s="20" t="s">
        <v>1025</v>
      </c>
      <c r="G548" s="20" t="s">
        <v>191</v>
      </c>
      <c r="H548" s="20">
        <v>1</v>
      </c>
      <c r="I548" s="20">
        <v>0</v>
      </c>
      <c r="J548" s="22">
        <f t="shared" ref="J548:J611" si="18">IFERROR(I548/H548,0)</f>
        <v>0</v>
      </c>
      <c r="K548" s="20">
        <f t="shared" ref="K548:K611" si="19">H548-I548</f>
        <v>1</v>
      </c>
    </row>
    <row r="549" spans="1:11" x14ac:dyDescent="0.35">
      <c r="A549" s="20" t="s">
        <v>118</v>
      </c>
      <c r="B549" s="20" t="s">
        <v>163</v>
      </c>
      <c r="C549" s="20" t="s">
        <v>133</v>
      </c>
      <c r="D549" s="20" t="s">
        <v>1026</v>
      </c>
      <c r="E549" s="20" t="s">
        <v>189</v>
      </c>
      <c r="F549" s="20" t="s">
        <v>1027</v>
      </c>
      <c r="G549" s="20" t="s">
        <v>191</v>
      </c>
      <c r="H549" s="20">
        <v>1</v>
      </c>
      <c r="I549" s="20">
        <v>0</v>
      </c>
      <c r="J549" s="22">
        <f t="shared" si="18"/>
        <v>0</v>
      </c>
      <c r="K549" s="20">
        <f t="shared" si="19"/>
        <v>1</v>
      </c>
    </row>
    <row r="550" spans="1:11" x14ac:dyDescent="0.35">
      <c r="A550" s="20" t="s">
        <v>118</v>
      </c>
      <c r="B550" s="20" t="s">
        <v>163</v>
      </c>
      <c r="C550" s="20" t="s">
        <v>133</v>
      </c>
      <c r="D550" s="20" t="s">
        <v>1026</v>
      </c>
      <c r="E550" s="20" t="s">
        <v>189</v>
      </c>
      <c r="F550" s="20" t="s">
        <v>1028</v>
      </c>
      <c r="G550" s="20" t="s">
        <v>191</v>
      </c>
      <c r="H550" s="20">
        <v>1</v>
      </c>
      <c r="I550" s="20">
        <v>0</v>
      </c>
      <c r="J550" s="22">
        <f t="shared" si="18"/>
        <v>0</v>
      </c>
      <c r="K550" s="20">
        <f t="shared" si="19"/>
        <v>1</v>
      </c>
    </row>
    <row r="551" spans="1:11" ht="25" x14ac:dyDescent="0.35">
      <c r="A551" s="20" t="s">
        <v>118</v>
      </c>
      <c r="B551" s="20" t="s">
        <v>163</v>
      </c>
      <c r="C551" s="20" t="s">
        <v>133</v>
      </c>
      <c r="D551" s="20" t="s">
        <v>1029</v>
      </c>
      <c r="E551" s="20" t="s">
        <v>189</v>
      </c>
      <c r="F551" s="20" t="s">
        <v>1030</v>
      </c>
      <c r="G551" s="20" t="s">
        <v>191</v>
      </c>
      <c r="H551" s="20">
        <v>1</v>
      </c>
      <c r="I551" s="20">
        <v>0</v>
      </c>
      <c r="J551" s="22">
        <f t="shared" si="18"/>
        <v>0</v>
      </c>
      <c r="K551" s="20">
        <f t="shared" si="19"/>
        <v>1</v>
      </c>
    </row>
    <row r="552" spans="1:11" x14ac:dyDescent="0.35">
      <c r="A552" s="20" t="s">
        <v>118</v>
      </c>
      <c r="B552" s="20" t="s">
        <v>163</v>
      </c>
      <c r="C552" s="20" t="s">
        <v>133</v>
      </c>
      <c r="D552" s="20" t="s">
        <v>1031</v>
      </c>
      <c r="E552" s="20" t="s">
        <v>189</v>
      </c>
      <c r="F552" s="20" t="s">
        <v>1032</v>
      </c>
      <c r="G552" s="20" t="s">
        <v>191</v>
      </c>
      <c r="H552" s="20">
        <v>1</v>
      </c>
      <c r="I552" s="20">
        <v>0</v>
      </c>
      <c r="J552" s="22">
        <f t="shared" si="18"/>
        <v>0</v>
      </c>
      <c r="K552" s="20">
        <f t="shared" si="19"/>
        <v>1</v>
      </c>
    </row>
    <row r="553" spans="1:11" x14ac:dyDescent="0.35">
      <c r="A553" s="20" t="s">
        <v>118</v>
      </c>
      <c r="B553" s="20" t="s">
        <v>163</v>
      </c>
      <c r="C553" s="20" t="s">
        <v>133</v>
      </c>
      <c r="D553" s="20" t="s">
        <v>1033</v>
      </c>
      <c r="E553" s="20" t="s">
        <v>189</v>
      </c>
      <c r="F553" s="20" t="s">
        <v>1034</v>
      </c>
      <c r="G553" s="20" t="s">
        <v>191</v>
      </c>
      <c r="H553" s="20">
        <v>1</v>
      </c>
      <c r="I553" s="20">
        <v>0</v>
      </c>
      <c r="J553" s="22">
        <f t="shared" si="18"/>
        <v>0</v>
      </c>
      <c r="K553" s="20">
        <f t="shared" si="19"/>
        <v>1</v>
      </c>
    </row>
    <row r="554" spans="1:11" x14ac:dyDescent="0.35">
      <c r="A554" s="20" t="s">
        <v>118</v>
      </c>
      <c r="B554" s="20" t="s">
        <v>163</v>
      </c>
      <c r="C554" s="20" t="s">
        <v>133</v>
      </c>
      <c r="D554" s="20" t="s">
        <v>1035</v>
      </c>
      <c r="E554" s="20" t="s">
        <v>189</v>
      </c>
      <c r="F554" s="20" t="s">
        <v>1036</v>
      </c>
      <c r="G554" s="20" t="s">
        <v>191</v>
      </c>
      <c r="H554" s="20">
        <v>1</v>
      </c>
      <c r="I554" s="20">
        <v>0</v>
      </c>
      <c r="J554" s="22">
        <f t="shared" si="18"/>
        <v>0</v>
      </c>
      <c r="K554" s="20">
        <f t="shared" si="19"/>
        <v>1</v>
      </c>
    </row>
    <row r="555" spans="1:11" x14ac:dyDescent="0.35">
      <c r="A555" s="20" t="s">
        <v>118</v>
      </c>
      <c r="B555" s="20" t="s">
        <v>163</v>
      </c>
      <c r="C555" s="20" t="s">
        <v>133</v>
      </c>
      <c r="D555" s="20" t="s">
        <v>1037</v>
      </c>
      <c r="E555" s="20" t="s">
        <v>189</v>
      </c>
      <c r="F555" s="20" t="s">
        <v>1038</v>
      </c>
      <c r="G555" s="20" t="s">
        <v>191</v>
      </c>
      <c r="H555" s="20">
        <v>1</v>
      </c>
      <c r="I555" s="20">
        <v>0</v>
      </c>
      <c r="J555" s="22">
        <f t="shared" si="18"/>
        <v>0</v>
      </c>
      <c r="K555" s="20">
        <f t="shared" si="19"/>
        <v>1</v>
      </c>
    </row>
    <row r="556" spans="1:11" x14ac:dyDescent="0.35">
      <c r="A556" s="20" t="s">
        <v>118</v>
      </c>
      <c r="B556" s="20" t="s">
        <v>163</v>
      </c>
      <c r="C556" s="20" t="s">
        <v>133</v>
      </c>
      <c r="D556" s="20" t="s">
        <v>1039</v>
      </c>
      <c r="E556" s="20" t="s">
        <v>189</v>
      </c>
      <c r="F556" s="20" t="s">
        <v>1040</v>
      </c>
      <c r="G556" s="20" t="s">
        <v>191</v>
      </c>
      <c r="H556" s="20">
        <v>1</v>
      </c>
      <c r="I556" s="20">
        <v>0</v>
      </c>
      <c r="J556" s="22">
        <f t="shared" si="18"/>
        <v>0</v>
      </c>
      <c r="K556" s="20">
        <f t="shared" si="19"/>
        <v>1</v>
      </c>
    </row>
    <row r="557" spans="1:11" x14ac:dyDescent="0.35">
      <c r="A557" s="20" t="s">
        <v>118</v>
      </c>
      <c r="B557" s="20" t="s">
        <v>163</v>
      </c>
      <c r="C557" s="20" t="s">
        <v>133</v>
      </c>
      <c r="D557" s="20" t="s">
        <v>1041</v>
      </c>
      <c r="E557" s="20" t="s">
        <v>189</v>
      </c>
      <c r="F557" s="20" t="s">
        <v>1042</v>
      </c>
      <c r="G557" s="20" t="s">
        <v>191</v>
      </c>
      <c r="H557" s="20">
        <v>1</v>
      </c>
      <c r="I557" s="20">
        <v>0</v>
      </c>
      <c r="J557" s="22">
        <f t="shared" si="18"/>
        <v>0</v>
      </c>
      <c r="K557" s="20">
        <f t="shared" si="19"/>
        <v>1</v>
      </c>
    </row>
    <row r="558" spans="1:11" x14ac:dyDescent="0.35">
      <c r="A558" s="20" t="s">
        <v>118</v>
      </c>
      <c r="B558" s="20" t="s">
        <v>163</v>
      </c>
      <c r="C558" s="20" t="s">
        <v>133</v>
      </c>
      <c r="D558" s="20" t="s">
        <v>1043</v>
      </c>
      <c r="E558" s="20" t="s">
        <v>189</v>
      </c>
      <c r="F558" s="20" t="s">
        <v>1044</v>
      </c>
      <c r="G558" s="20" t="s">
        <v>191</v>
      </c>
      <c r="H558" s="20">
        <v>1</v>
      </c>
      <c r="I558" s="20">
        <v>0</v>
      </c>
      <c r="J558" s="22">
        <f t="shared" si="18"/>
        <v>0</v>
      </c>
      <c r="K558" s="20">
        <f t="shared" si="19"/>
        <v>1</v>
      </c>
    </row>
    <row r="559" spans="1:11" x14ac:dyDescent="0.35">
      <c r="A559" s="20" t="s">
        <v>118</v>
      </c>
      <c r="B559" s="20" t="s">
        <v>163</v>
      </c>
      <c r="C559" s="20" t="s">
        <v>133</v>
      </c>
      <c r="D559" s="20" t="s">
        <v>1045</v>
      </c>
      <c r="E559" s="20" t="s">
        <v>189</v>
      </c>
      <c r="F559" s="20" t="s">
        <v>1046</v>
      </c>
      <c r="G559" s="20" t="s">
        <v>191</v>
      </c>
      <c r="H559" s="20">
        <v>1</v>
      </c>
      <c r="I559" s="20">
        <v>0</v>
      </c>
      <c r="J559" s="22">
        <f t="shared" si="18"/>
        <v>0</v>
      </c>
      <c r="K559" s="20">
        <f t="shared" si="19"/>
        <v>1</v>
      </c>
    </row>
    <row r="560" spans="1:11" x14ac:dyDescent="0.35">
      <c r="A560" s="20" t="s">
        <v>118</v>
      </c>
      <c r="B560" s="20" t="s">
        <v>163</v>
      </c>
      <c r="C560" s="20" t="s">
        <v>133</v>
      </c>
      <c r="D560" s="20" t="s">
        <v>1047</v>
      </c>
      <c r="E560" s="20" t="s">
        <v>189</v>
      </c>
      <c r="F560" s="20" t="s">
        <v>1048</v>
      </c>
      <c r="G560" s="20" t="s">
        <v>191</v>
      </c>
      <c r="H560" s="20">
        <v>1</v>
      </c>
      <c r="I560" s="20">
        <v>0</v>
      </c>
      <c r="J560" s="22">
        <f t="shared" si="18"/>
        <v>0</v>
      </c>
      <c r="K560" s="20">
        <f t="shared" si="19"/>
        <v>1</v>
      </c>
    </row>
    <row r="561" spans="1:11" x14ac:dyDescent="0.35">
      <c r="A561" s="20" t="s">
        <v>118</v>
      </c>
      <c r="B561" s="20" t="s">
        <v>163</v>
      </c>
      <c r="C561" s="20" t="s">
        <v>133</v>
      </c>
      <c r="D561" s="20" t="s">
        <v>1049</v>
      </c>
      <c r="E561" s="20" t="s">
        <v>189</v>
      </c>
      <c r="F561" s="20" t="s">
        <v>1050</v>
      </c>
      <c r="G561" s="20" t="s">
        <v>191</v>
      </c>
      <c r="H561" s="20">
        <v>1</v>
      </c>
      <c r="I561" s="20">
        <v>0</v>
      </c>
      <c r="J561" s="22">
        <f t="shared" si="18"/>
        <v>0</v>
      </c>
      <c r="K561" s="20">
        <f t="shared" si="19"/>
        <v>1</v>
      </c>
    </row>
    <row r="562" spans="1:11" x14ac:dyDescent="0.35">
      <c r="A562" s="20" t="s">
        <v>118</v>
      </c>
      <c r="B562" s="20" t="s">
        <v>163</v>
      </c>
      <c r="C562" s="20" t="s">
        <v>133</v>
      </c>
      <c r="D562" s="20" t="s">
        <v>1051</v>
      </c>
      <c r="E562" s="20" t="s">
        <v>189</v>
      </c>
      <c r="F562" s="20" t="s">
        <v>1052</v>
      </c>
      <c r="G562" s="20" t="s">
        <v>191</v>
      </c>
      <c r="H562" s="20">
        <v>1</v>
      </c>
      <c r="I562" s="20">
        <v>0</v>
      </c>
      <c r="J562" s="22">
        <f t="shared" si="18"/>
        <v>0</v>
      </c>
      <c r="K562" s="20">
        <f t="shared" si="19"/>
        <v>1</v>
      </c>
    </row>
    <row r="563" spans="1:11" x14ac:dyDescent="0.35">
      <c r="A563" s="20" t="s">
        <v>118</v>
      </c>
      <c r="B563" s="20" t="s">
        <v>163</v>
      </c>
      <c r="C563" s="20" t="s">
        <v>133</v>
      </c>
      <c r="D563" s="20" t="s">
        <v>1053</v>
      </c>
      <c r="E563" s="20" t="s">
        <v>189</v>
      </c>
      <c r="F563" s="20" t="s">
        <v>1054</v>
      </c>
      <c r="G563" s="20" t="s">
        <v>191</v>
      </c>
      <c r="H563" s="20">
        <v>1</v>
      </c>
      <c r="I563" s="20">
        <v>0</v>
      </c>
      <c r="J563" s="22">
        <f t="shared" si="18"/>
        <v>0</v>
      </c>
      <c r="K563" s="20">
        <f t="shared" si="19"/>
        <v>1</v>
      </c>
    </row>
    <row r="564" spans="1:11" x14ac:dyDescent="0.35">
      <c r="A564" s="20" t="s">
        <v>118</v>
      </c>
      <c r="B564" s="20" t="s">
        <v>163</v>
      </c>
      <c r="C564" s="20" t="s">
        <v>133</v>
      </c>
      <c r="D564" s="20" t="s">
        <v>968</v>
      </c>
      <c r="E564" s="20" t="s">
        <v>189</v>
      </c>
      <c r="F564" s="20" t="s">
        <v>1055</v>
      </c>
      <c r="G564" s="20" t="s">
        <v>191</v>
      </c>
      <c r="H564" s="20">
        <v>1</v>
      </c>
      <c r="I564" s="20">
        <v>0</v>
      </c>
      <c r="J564" s="22">
        <f t="shared" si="18"/>
        <v>0</v>
      </c>
      <c r="K564" s="20">
        <f t="shared" si="19"/>
        <v>1</v>
      </c>
    </row>
    <row r="565" spans="1:11" x14ac:dyDescent="0.35">
      <c r="A565" s="20" t="s">
        <v>118</v>
      </c>
      <c r="B565" s="20" t="s">
        <v>163</v>
      </c>
      <c r="C565" s="20" t="s">
        <v>133</v>
      </c>
      <c r="D565" s="20" t="s">
        <v>1056</v>
      </c>
      <c r="E565" s="20" t="s">
        <v>189</v>
      </c>
      <c r="F565" s="20" t="s">
        <v>1057</v>
      </c>
      <c r="G565" s="20" t="s">
        <v>191</v>
      </c>
      <c r="H565" s="20">
        <v>1</v>
      </c>
      <c r="I565" s="20">
        <v>0</v>
      </c>
      <c r="J565" s="22">
        <f t="shared" si="18"/>
        <v>0</v>
      </c>
      <c r="K565" s="20">
        <f t="shared" si="19"/>
        <v>1</v>
      </c>
    </row>
    <row r="566" spans="1:11" x14ac:dyDescent="0.35">
      <c r="A566" s="20" t="s">
        <v>118</v>
      </c>
      <c r="B566" s="20" t="s">
        <v>163</v>
      </c>
      <c r="C566" s="20" t="s">
        <v>133</v>
      </c>
      <c r="D566" s="20" t="s">
        <v>1058</v>
      </c>
      <c r="E566" s="20" t="s">
        <v>189</v>
      </c>
      <c r="F566" s="20" t="s">
        <v>637</v>
      </c>
      <c r="G566" s="20" t="s">
        <v>191</v>
      </c>
      <c r="H566" s="20">
        <v>1</v>
      </c>
      <c r="I566" s="20">
        <v>0</v>
      </c>
      <c r="J566" s="22">
        <f t="shared" si="18"/>
        <v>0</v>
      </c>
      <c r="K566" s="20">
        <f t="shared" si="19"/>
        <v>1</v>
      </c>
    </row>
    <row r="567" spans="1:11" x14ac:dyDescent="0.35">
      <c r="A567" s="20" t="s">
        <v>118</v>
      </c>
      <c r="B567" s="20" t="s">
        <v>163</v>
      </c>
      <c r="C567" s="20" t="s">
        <v>133</v>
      </c>
      <c r="D567" s="20" t="s">
        <v>842</v>
      </c>
      <c r="E567" s="20" t="s">
        <v>189</v>
      </c>
      <c r="F567" s="20" t="s">
        <v>1059</v>
      </c>
      <c r="G567" s="20" t="s">
        <v>191</v>
      </c>
      <c r="H567" s="20">
        <v>1</v>
      </c>
      <c r="I567" s="20">
        <v>0</v>
      </c>
      <c r="J567" s="22">
        <f t="shared" si="18"/>
        <v>0</v>
      </c>
      <c r="K567" s="20">
        <f t="shared" si="19"/>
        <v>1</v>
      </c>
    </row>
    <row r="568" spans="1:11" x14ac:dyDescent="0.35">
      <c r="A568" s="20" t="s">
        <v>118</v>
      </c>
      <c r="B568" s="20" t="s">
        <v>163</v>
      </c>
      <c r="C568" s="20" t="s">
        <v>133</v>
      </c>
      <c r="D568" s="20" t="s">
        <v>1060</v>
      </c>
      <c r="E568" s="20" t="s">
        <v>189</v>
      </c>
      <c r="F568" s="20" t="s">
        <v>1061</v>
      </c>
      <c r="G568" s="20" t="s">
        <v>191</v>
      </c>
      <c r="H568" s="20">
        <v>1</v>
      </c>
      <c r="I568" s="20">
        <v>0</v>
      </c>
      <c r="J568" s="22">
        <f t="shared" si="18"/>
        <v>0</v>
      </c>
      <c r="K568" s="20">
        <f t="shared" si="19"/>
        <v>1</v>
      </c>
    </row>
    <row r="569" spans="1:11" x14ac:dyDescent="0.35">
      <c r="A569" s="20" t="s">
        <v>118</v>
      </c>
      <c r="B569" s="20" t="s">
        <v>163</v>
      </c>
      <c r="C569" s="20" t="s">
        <v>133</v>
      </c>
      <c r="D569" s="20" t="s">
        <v>688</v>
      </c>
      <c r="E569" s="20" t="s">
        <v>189</v>
      </c>
      <c r="F569" s="20" t="s">
        <v>1062</v>
      </c>
      <c r="G569" s="20" t="s">
        <v>191</v>
      </c>
      <c r="H569" s="20">
        <v>1</v>
      </c>
      <c r="I569" s="20">
        <v>0</v>
      </c>
      <c r="J569" s="22">
        <f t="shared" si="18"/>
        <v>0</v>
      </c>
      <c r="K569" s="20">
        <f t="shared" si="19"/>
        <v>1</v>
      </c>
    </row>
    <row r="570" spans="1:11" x14ac:dyDescent="0.35">
      <c r="A570" s="20" t="s">
        <v>118</v>
      </c>
      <c r="B570" s="20" t="s">
        <v>163</v>
      </c>
      <c r="C570" s="20" t="s">
        <v>133</v>
      </c>
      <c r="D570" s="20" t="s">
        <v>1063</v>
      </c>
      <c r="E570" s="20" t="s">
        <v>189</v>
      </c>
      <c r="F570" s="20" t="s">
        <v>637</v>
      </c>
      <c r="G570" s="20" t="s">
        <v>191</v>
      </c>
      <c r="H570" s="20">
        <v>1</v>
      </c>
      <c r="I570" s="20">
        <v>0</v>
      </c>
      <c r="J570" s="22">
        <f t="shared" si="18"/>
        <v>0</v>
      </c>
      <c r="K570" s="20">
        <f t="shared" si="19"/>
        <v>1</v>
      </c>
    </row>
    <row r="571" spans="1:11" x14ac:dyDescent="0.35">
      <c r="A571" s="20" t="s">
        <v>118</v>
      </c>
      <c r="B571" s="20" t="s">
        <v>163</v>
      </c>
      <c r="C571" s="20" t="s">
        <v>133</v>
      </c>
      <c r="D571" s="20" t="s">
        <v>1064</v>
      </c>
      <c r="E571" s="20" t="s">
        <v>189</v>
      </c>
      <c r="F571" s="20" t="s">
        <v>1065</v>
      </c>
      <c r="G571" s="20" t="s">
        <v>191</v>
      </c>
      <c r="H571" s="20">
        <v>1</v>
      </c>
      <c r="I571" s="20">
        <v>0</v>
      </c>
      <c r="J571" s="22">
        <f t="shared" si="18"/>
        <v>0</v>
      </c>
      <c r="K571" s="20">
        <f t="shared" si="19"/>
        <v>1</v>
      </c>
    </row>
    <row r="572" spans="1:11" x14ac:dyDescent="0.35">
      <c r="A572" s="20" t="s">
        <v>118</v>
      </c>
      <c r="B572" s="20" t="s">
        <v>163</v>
      </c>
      <c r="C572" s="20" t="s">
        <v>133</v>
      </c>
      <c r="D572" s="20" t="s">
        <v>1064</v>
      </c>
      <c r="E572" s="20" t="s">
        <v>189</v>
      </c>
      <c r="F572" s="20" t="s">
        <v>1066</v>
      </c>
      <c r="G572" s="20" t="s">
        <v>191</v>
      </c>
      <c r="H572" s="20">
        <v>1</v>
      </c>
      <c r="I572" s="20">
        <v>0</v>
      </c>
      <c r="J572" s="22">
        <f t="shared" si="18"/>
        <v>0</v>
      </c>
      <c r="K572" s="20">
        <f t="shared" si="19"/>
        <v>1</v>
      </c>
    </row>
    <row r="573" spans="1:11" x14ac:dyDescent="0.35">
      <c r="A573" s="20" t="s">
        <v>118</v>
      </c>
      <c r="B573" s="20" t="s">
        <v>163</v>
      </c>
      <c r="C573" s="20" t="s">
        <v>133</v>
      </c>
      <c r="D573" s="20" t="s">
        <v>1064</v>
      </c>
      <c r="E573" s="20" t="s">
        <v>189</v>
      </c>
      <c r="F573" s="20" t="s">
        <v>1067</v>
      </c>
      <c r="G573" s="20" t="s">
        <v>191</v>
      </c>
      <c r="H573" s="20">
        <v>1</v>
      </c>
      <c r="I573" s="20">
        <v>0</v>
      </c>
      <c r="J573" s="22">
        <f t="shared" si="18"/>
        <v>0</v>
      </c>
      <c r="K573" s="20">
        <f t="shared" si="19"/>
        <v>1</v>
      </c>
    </row>
    <row r="574" spans="1:11" x14ac:dyDescent="0.35">
      <c r="A574" s="20" t="s">
        <v>118</v>
      </c>
      <c r="B574" s="20" t="s">
        <v>163</v>
      </c>
      <c r="C574" s="20" t="s">
        <v>133</v>
      </c>
      <c r="D574" s="20" t="s">
        <v>1064</v>
      </c>
      <c r="E574" s="20" t="s">
        <v>189</v>
      </c>
      <c r="F574" s="20" t="s">
        <v>1068</v>
      </c>
      <c r="G574" s="20" t="s">
        <v>191</v>
      </c>
      <c r="H574" s="20">
        <v>1</v>
      </c>
      <c r="I574" s="20">
        <v>0</v>
      </c>
      <c r="J574" s="22">
        <f t="shared" si="18"/>
        <v>0</v>
      </c>
      <c r="K574" s="20">
        <f t="shared" si="19"/>
        <v>1</v>
      </c>
    </row>
    <row r="575" spans="1:11" x14ac:dyDescent="0.35">
      <c r="A575" s="20" t="s">
        <v>118</v>
      </c>
      <c r="B575" s="20" t="s">
        <v>163</v>
      </c>
      <c r="C575" s="20" t="s">
        <v>133</v>
      </c>
      <c r="D575" s="20" t="s">
        <v>1069</v>
      </c>
      <c r="E575" s="20" t="s">
        <v>189</v>
      </c>
      <c r="F575" s="20" t="s">
        <v>870</v>
      </c>
      <c r="G575" s="20" t="s">
        <v>191</v>
      </c>
      <c r="H575" s="20">
        <v>1</v>
      </c>
      <c r="I575" s="20">
        <v>0</v>
      </c>
      <c r="J575" s="22">
        <f t="shared" si="18"/>
        <v>0</v>
      </c>
      <c r="K575" s="20">
        <f t="shared" si="19"/>
        <v>1</v>
      </c>
    </row>
    <row r="576" spans="1:11" x14ac:dyDescent="0.35">
      <c r="A576" s="20" t="s">
        <v>118</v>
      </c>
      <c r="B576" s="20" t="s">
        <v>163</v>
      </c>
      <c r="C576" s="20" t="s">
        <v>133</v>
      </c>
      <c r="D576" s="20" t="s">
        <v>1070</v>
      </c>
      <c r="E576" s="20" t="s">
        <v>189</v>
      </c>
      <c r="F576" s="20" t="s">
        <v>870</v>
      </c>
      <c r="G576" s="20" t="s">
        <v>191</v>
      </c>
      <c r="H576" s="20">
        <v>1</v>
      </c>
      <c r="I576" s="20">
        <v>0</v>
      </c>
      <c r="J576" s="22">
        <f t="shared" si="18"/>
        <v>0</v>
      </c>
      <c r="K576" s="20">
        <f t="shared" si="19"/>
        <v>1</v>
      </c>
    </row>
    <row r="577" spans="1:11" x14ac:dyDescent="0.35">
      <c r="A577" s="20" t="s">
        <v>118</v>
      </c>
      <c r="B577" s="20" t="s">
        <v>163</v>
      </c>
      <c r="C577" s="20" t="s">
        <v>133</v>
      </c>
      <c r="D577" s="20" t="s">
        <v>1071</v>
      </c>
      <c r="E577" s="20" t="s">
        <v>189</v>
      </c>
      <c r="F577" s="20" t="s">
        <v>1072</v>
      </c>
      <c r="G577" s="20" t="s">
        <v>191</v>
      </c>
      <c r="H577" s="20">
        <v>1</v>
      </c>
      <c r="I577" s="20">
        <v>0</v>
      </c>
      <c r="J577" s="22">
        <f t="shared" si="18"/>
        <v>0</v>
      </c>
      <c r="K577" s="20">
        <f t="shared" si="19"/>
        <v>1</v>
      </c>
    </row>
    <row r="578" spans="1:11" x14ac:dyDescent="0.35">
      <c r="A578" s="20" t="s">
        <v>118</v>
      </c>
      <c r="B578" s="20" t="s">
        <v>163</v>
      </c>
      <c r="C578" s="20" t="s">
        <v>133</v>
      </c>
      <c r="D578" s="20" t="s">
        <v>1073</v>
      </c>
      <c r="E578" s="20" t="s">
        <v>189</v>
      </c>
      <c r="F578" s="20" t="s">
        <v>1074</v>
      </c>
      <c r="G578" s="20" t="s">
        <v>191</v>
      </c>
      <c r="H578" s="20">
        <v>1</v>
      </c>
      <c r="I578" s="20">
        <v>0</v>
      </c>
      <c r="J578" s="22">
        <f t="shared" si="18"/>
        <v>0</v>
      </c>
      <c r="K578" s="20">
        <f t="shared" si="19"/>
        <v>1</v>
      </c>
    </row>
    <row r="579" spans="1:11" x14ac:dyDescent="0.35">
      <c r="A579" s="20" t="s">
        <v>118</v>
      </c>
      <c r="B579" s="20" t="s">
        <v>163</v>
      </c>
      <c r="C579" s="20" t="s">
        <v>133</v>
      </c>
      <c r="D579" s="20" t="s">
        <v>1075</v>
      </c>
      <c r="E579" s="20" t="s">
        <v>189</v>
      </c>
      <c r="F579" s="20" t="s">
        <v>1076</v>
      </c>
      <c r="G579" s="20" t="s">
        <v>191</v>
      </c>
      <c r="H579" s="20">
        <v>1</v>
      </c>
      <c r="I579" s="20">
        <v>0</v>
      </c>
      <c r="J579" s="22">
        <f t="shared" si="18"/>
        <v>0</v>
      </c>
      <c r="K579" s="20">
        <f t="shared" si="19"/>
        <v>1</v>
      </c>
    </row>
    <row r="580" spans="1:11" x14ac:dyDescent="0.35">
      <c r="A580" s="20" t="s">
        <v>118</v>
      </c>
      <c r="B580" s="20" t="s">
        <v>163</v>
      </c>
      <c r="C580" s="20" t="s">
        <v>133</v>
      </c>
      <c r="D580" s="20" t="s">
        <v>1077</v>
      </c>
      <c r="E580" s="20" t="s">
        <v>189</v>
      </c>
      <c r="F580" s="20" t="s">
        <v>1078</v>
      </c>
      <c r="G580" s="20" t="s">
        <v>191</v>
      </c>
      <c r="H580" s="20">
        <v>1</v>
      </c>
      <c r="I580" s="20">
        <v>0</v>
      </c>
      <c r="J580" s="22">
        <f t="shared" si="18"/>
        <v>0</v>
      </c>
      <c r="K580" s="20">
        <f t="shared" si="19"/>
        <v>1</v>
      </c>
    </row>
    <row r="581" spans="1:11" x14ac:dyDescent="0.35">
      <c r="A581" s="20" t="s">
        <v>118</v>
      </c>
      <c r="B581" s="20" t="s">
        <v>163</v>
      </c>
      <c r="C581" s="20" t="s">
        <v>133</v>
      </c>
      <c r="D581" s="20" t="s">
        <v>1077</v>
      </c>
      <c r="E581" s="20" t="s">
        <v>189</v>
      </c>
      <c r="F581" s="20" t="s">
        <v>1079</v>
      </c>
      <c r="G581" s="20" t="s">
        <v>191</v>
      </c>
      <c r="H581" s="20">
        <v>1</v>
      </c>
      <c r="I581" s="20">
        <v>0</v>
      </c>
      <c r="J581" s="22">
        <f t="shared" si="18"/>
        <v>0</v>
      </c>
      <c r="K581" s="20">
        <f t="shared" si="19"/>
        <v>1</v>
      </c>
    </row>
    <row r="582" spans="1:11" x14ac:dyDescent="0.35">
      <c r="A582" s="20" t="s">
        <v>118</v>
      </c>
      <c r="B582" s="20" t="s">
        <v>163</v>
      </c>
      <c r="C582" s="20" t="s">
        <v>133</v>
      </c>
      <c r="D582" s="20" t="s">
        <v>1080</v>
      </c>
      <c r="E582" s="20" t="s">
        <v>189</v>
      </c>
      <c r="F582" s="20" t="s">
        <v>1081</v>
      </c>
      <c r="G582" s="20" t="s">
        <v>191</v>
      </c>
      <c r="H582" s="20">
        <v>1</v>
      </c>
      <c r="I582" s="20">
        <v>0</v>
      </c>
      <c r="J582" s="22">
        <f t="shared" si="18"/>
        <v>0</v>
      </c>
      <c r="K582" s="20">
        <f t="shared" si="19"/>
        <v>1</v>
      </c>
    </row>
    <row r="583" spans="1:11" x14ac:dyDescent="0.35">
      <c r="A583" s="20" t="s">
        <v>118</v>
      </c>
      <c r="B583" s="20" t="s">
        <v>163</v>
      </c>
      <c r="C583" s="20" t="s">
        <v>133</v>
      </c>
      <c r="D583" s="20" t="s">
        <v>1080</v>
      </c>
      <c r="E583" s="20" t="s">
        <v>189</v>
      </c>
      <c r="F583" s="20" t="s">
        <v>1082</v>
      </c>
      <c r="G583" s="20" t="s">
        <v>191</v>
      </c>
      <c r="H583" s="20">
        <v>1</v>
      </c>
      <c r="I583" s="20">
        <v>0</v>
      </c>
      <c r="J583" s="22">
        <f t="shared" si="18"/>
        <v>0</v>
      </c>
      <c r="K583" s="20">
        <f t="shared" si="19"/>
        <v>1</v>
      </c>
    </row>
    <row r="584" spans="1:11" x14ac:dyDescent="0.35">
      <c r="A584" s="20" t="s">
        <v>118</v>
      </c>
      <c r="B584" s="20" t="s">
        <v>163</v>
      </c>
      <c r="C584" s="20" t="s">
        <v>133</v>
      </c>
      <c r="D584" s="20" t="s">
        <v>1080</v>
      </c>
      <c r="E584" s="20" t="s">
        <v>189</v>
      </c>
      <c r="F584" s="20" t="s">
        <v>1083</v>
      </c>
      <c r="G584" s="20" t="s">
        <v>191</v>
      </c>
      <c r="H584" s="20">
        <v>1</v>
      </c>
      <c r="I584" s="20">
        <v>0</v>
      </c>
      <c r="J584" s="22">
        <f t="shared" si="18"/>
        <v>0</v>
      </c>
      <c r="K584" s="20">
        <f t="shared" si="19"/>
        <v>1</v>
      </c>
    </row>
    <row r="585" spans="1:11" x14ac:dyDescent="0.35">
      <c r="A585" s="20" t="s">
        <v>118</v>
      </c>
      <c r="B585" s="20" t="s">
        <v>163</v>
      </c>
      <c r="C585" s="20" t="s">
        <v>133</v>
      </c>
      <c r="D585" s="20" t="s">
        <v>1084</v>
      </c>
      <c r="E585" s="20" t="s">
        <v>189</v>
      </c>
      <c r="F585" s="20" t="s">
        <v>1085</v>
      </c>
      <c r="G585" s="20" t="s">
        <v>191</v>
      </c>
      <c r="H585" s="20">
        <v>1</v>
      </c>
      <c r="I585" s="20">
        <v>0</v>
      </c>
      <c r="J585" s="22">
        <f t="shared" si="18"/>
        <v>0</v>
      </c>
      <c r="K585" s="20">
        <f t="shared" si="19"/>
        <v>1</v>
      </c>
    </row>
    <row r="586" spans="1:11" x14ac:dyDescent="0.35">
      <c r="A586" s="20" t="s">
        <v>118</v>
      </c>
      <c r="B586" s="20" t="s">
        <v>163</v>
      </c>
      <c r="C586" s="20" t="s">
        <v>133</v>
      </c>
      <c r="D586" s="20" t="s">
        <v>1086</v>
      </c>
      <c r="E586" s="20" t="s">
        <v>189</v>
      </c>
      <c r="F586" s="20" t="s">
        <v>1087</v>
      </c>
      <c r="G586" s="20" t="s">
        <v>191</v>
      </c>
      <c r="H586" s="20">
        <v>1</v>
      </c>
      <c r="I586" s="20">
        <v>0</v>
      </c>
      <c r="J586" s="22">
        <f t="shared" si="18"/>
        <v>0</v>
      </c>
      <c r="K586" s="20">
        <f t="shared" si="19"/>
        <v>1</v>
      </c>
    </row>
    <row r="587" spans="1:11" x14ac:dyDescent="0.35">
      <c r="A587" s="20" t="s">
        <v>118</v>
      </c>
      <c r="B587" s="20" t="s">
        <v>163</v>
      </c>
      <c r="C587" s="20" t="s">
        <v>133</v>
      </c>
      <c r="D587" s="20" t="s">
        <v>1088</v>
      </c>
      <c r="E587" s="20" t="s">
        <v>189</v>
      </c>
      <c r="F587" s="20" t="s">
        <v>1089</v>
      </c>
      <c r="G587" s="20" t="s">
        <v>191</v>
      </c>
      <c r="H587" s="20">
        <v>1</v>
      </c>
      <c r="I587" s="20">
        <v>0</v>
      </c>
      <c r="J587" s="22">
        <f t="shared" si="18"/>
        <v>0</v>
      </c>
      <c r="K587" s="20">
        <f t="shared" si="19"/>
        <v>1</v>
      </c>
    </row>
    <row r="588" spans="1:11" x14ac:dyDescent="0.35">
      <c r="A588" s="20" t="s">
        <v>118</v>
      </c>
      <c r="B588" s="20" t="s">
        <v>163</v>
      </c>
      <c r="C588" s="20" t="s">
        <v>133</v>
      </c>
      <c r="D588" s="20" t="s">
        <v>1090</v>
      </c>
      <c r="E588" s="20" t="s">
        <v>189</v>
      </c>
      <c r="F588" s="20" t="s">
        <v>1091</v>
      </c>
      <c r="G588" s="20" t="s">
        <v>191</v>
      </c>
      <c r="H588" s="20">
        <v>1</v>
      </c>
      <c r="I588" s="20">
        <v>0</v>
      </c>
      <c r="J588" s="22">
        <f t="shared" si="18"/>
        <v>0</v>
      </c>
      <c r="K588" s="20">
        <f t="shared" si="19"/>
        <v>1</v>
      </c>
    </row>
    <row r="589" spans="1:11" x14ac:dyDescent="0.35">
      <c r="A589" s="20" t="s">
        <v>118</v>
      </c>
      <c r="B589" s="20" t="s">
        <v>163</v>
      </c>
      <c r="C589" s="20" t="s">
        <v>133</v>
      </c>
      <c r="D589" s="20" t="s">
        <v>1092</v>
      </c>
      <c r="E589" s="20" t="s">
        <v>189</v>
      </c>
      <c r="F589" s="20" t="s">
        <v>1093</v>
      </c>
      <c r="G589" s="20" t="s">
        <v>191</v>
      </c>
      <c r="H589" s="20">
        <v>1</v>
      </c>
      <c r="I589" s="20">
        <v>0</v>
      </c>
      <c r="J589" s="22">
        <f t="shared" si="18"/>
        <v>0</v>
      </c>
      <c r="K589" s="20">
        <f t="shared" si="19"/>
        <v>1</v>
      </c>
    </row>
    <row r="590" spans="1:11" x14ac:dyDescent="0.35">
      <c r="A590" s="20" t="s">
        <v>118</v>
      </c>
      <c r="B590" s="20" t="s">
        <v>163</v>
      </c>
      <c r="C590" s="20" t="s">
        <v>133</v>
      </c>
      <c r="D590" s="20" t="s">
        <v>1094</v>
      </c>
      <c r="E590" s="20" t="s">
        <v>189</v>
      </c>
      <c r="F590" s="20" t="s">
        <v>1095</v>
      </c>
      <c r="G590" s="20" t="s">
        <v>191</v>
      </c>
      <c r="H590" s="20">
        <v>1</v>
      </c>
      <c r="I590" s="20">
        <v>0</v>
      </c>
      <c r="J590" s="22">
        <f t="shared" si="18"/>
        <v>0</v>
      </c>
      <c r="K590" s="20">
        <f t="shared" si="19"/>
        <v>1</v>
      </c>
    </row>
    <row r="591" spans="1:11" x14ac:dyDescent="0.35">
      <c r="A591" s="20" t="s">
        <v>118</v>
      </c>
      <c r="B591" s="20" t="s">
        <v>163</v>
      </c>
      <c r="C591" s="20" t="s">
        <v>133</v>
      </c>
      <c r="D591" s="20" t="s">
        <v>1096</v>
      </c>
      <c r="E591" s="20" t="s">
        <v>189</v>
      </c>
      <c r="F591" s="20" t="s">
        <v>1097</v>
      </c>
      <c r="G591" s="20" t="s">
        <v>191</v>
      </c>
      <c r="H591" s="20">
        <v>1</v>
      </c>
      <c r="I591" s="20">
        <v>0</v>
      </c>
      <c r="J591" s="22">
        <f t="shared" si="18"/>
        <v>0</v>
      </c>
      <c r="K591" s="20">
        <f t="shared" si="19"/>
        <v>1</v>
      </c>
    </row>
    <row r="592" spans="1:11" x14ac:dyDescent="0.35">
      <c r="A592" s="20" t="s">
        <v>118</v>
      </c>
      <c r="B592" s="20" t="s">
        <v>163</v>
      </c>
      <c r="C592" s="20" t="s">
        <v>133</v>
      </c>
      <c r="D592" s="20" t="s">
        <v>1098</v>
      </c>
      <c r="E592" s="20" t="s">
        <v>189</v>
      </c>
      <c r="F592" s="20" t="s">
        <v>1099</v>
      </c>
      <c r="G592" s="20" t="s">
        <v>191</v>
      </c>
      <c r="H592" s="20">
        <v>1</v>
      </c>
      <c r="I592" s="20">
        <v>0</v>
      </c>
      <c r="J592" s="22">
        <f t="shared" si="18"/>
        <v>0</v>
      </c>
      <c r="K592" s="20">
        <f t="shared" si="19"/>
        <v>1</v>
      </c>
    </row>
    <row r="593" spans="1:11" x14ac:dyDescent="0.35">
      <c r="A593" s="20" t="s">
        <v>118</v>
      </c>
      <c r="B593" s="20" t="s">
        <v>163</v>
      </c>
      <c r="C593" s="20" t="s">
        <v>133</v>
      </c>
      <c r="D593" s="20" t="s">
        <v>1098</v>
      </c>
      <c r="E593" s="20" t="s">
        <v>189</v>
      </c>
      <c r="F593" s="20" t="s">
        <v>687</v>
      </c>
      <c r="G593" s="20" t="s">
        <v>191</v>
      </c>
      <c r="H593" s="20">
        <v>1</v>
      </c>
      <c r="I593" s="20">
        <v>0</v>
      </c>
      <c r="J593" s="22">
        <f t="shared" si="18"/>
        <v>0</v>
      </c>
      <c r="K593" s="20">
        <f t="shared" si="19"/>
        <v>1</v>
      </c>
    </row>
    <row r="594" spans="1:11" x14ac:dyDescent="0.35">
      <c r="A594" s="20" t="s">
        <v>118</v>
      </c>
      <c r="B594" s="20" t="s">
        <v>163</v>
      </c>
      <c r="C594" s="20" t="s">
        <v>133</v>
      </c>
      <c r="D594" s="20" t="s">
        <v>1100</v>
      </c>
      <c r="E594" s="20" t="s">
        <v>189</v>
      </c>
      <c r="F594" s="20" t="s">
        <v>1101</v>
      </c>
      <c r="G594" s="20" t="s">
        <v>191</v>
      </c>
      <c r="H594" s="20">
        <v>1</v>
      </c>
      <c r="I594" s="20">
        <v>0</v>
      </c>
      <c r="J594" s="22">
        <f t="shared" si="18"/>
        <v>0</v>
      </c>
      <c r="K594" s="20">
        <f t="shared" si="19"/>
        <v>1</v>
      </c>
    </row>
    <row r="595" spans="1:11" x14ac:dyDescent="0.35">
      <c r="A595" s="20" t="s">
        <v>118</v>
      </c>
      <c r="B595" s="20" t="s">
        <v>163</v>
      </c>
      <c r="C595" s="20" t="s">
        <v>133</v>
      </c>
      <c r="D595" s="20" t="s">
        <v>1102</v>
      </c>
      <c r="E595" s="20" t="s">
        <v>189</v>
      </c>
      <c r="F595" s="20" t="s">
        <v>1103</v>
      </c>
      <c r="G595" s="20" t="s">
        <v>191</v>
      </c>
      <c r="H595" s="20">
        <v>1</v>
      </c>
      <c r="I595" s="20">
        <v>0</v>
      </c>
      <c r="J595" s="22">
        <f t="shared" si="18"/>
        <v>0</v>
      </c>
      <c r="K595" s="20">
        <f t="shared" si="19"/>
        <v>1</v>
      </c>
    </row>
    <row r="596" spans="1:11" x14ac:dyDescent="0.35">
      <c r="A596" s="20" t="s">
        <v>118</v>
      </c>
      <c r="B596" s="20" t="s">
        <v>163</v>
      </c>
      <c r="C596" s="20" t="s">
        <v>133</v>
      </c>
      <c r="D596" s="20" t="s">
        <v>1104</v>
      </c>
      <c r="E596" s="20" t="s">
        <v>189</v>
      </c>
      <c r="F596" s="20" t="s">
        <v>1105</v>
      </c>
      <c r="G596" s="20" t="s">
        <v>191</v>
      </c>
      <c r="H596" s="20">
        <v>1</v>
      </c>
      <c r="I596" s="20">
        <v>0</v>
      </c>
      <c r="J596" s="22">
        <f t="shared" si="18"/>
        <v>0</v>
      </c>
      <c r="K596" s="20">
        <f t="shared" si="19"/>
        <v>1</v>
      </c>
    </row>
    <row r="597" spans="1:11" x14ac:dyDescent="0.35">
      <c r="A597" s="20" t="s">
        <v>118</v>
      </c>
      <c r="B597" s="20" t="s">
        <v>163</v>
      </c>
      <c r="C597" s="20" t="s">
        <v>133</v>
      </c>
      <c r="D597" s="20" t="s">
        <v>1106</v>
      </c>
      <c r="E597" s="20" t="s">
        <v>189</v>
      </c>
      <c r="F597" s="20" t="s">
        <v>870</v>
      </c>
      <c r="G597" s="20" t="s">
        <v>191</v>
      </c>
      <c r="H597" s="20">
        <v>1</v>
      </c>
      <c r="I597" s="20">
        <v>0</v>
      </c>
      <c r="J597" s="22">
        <f t="shared" si="18"/>
        <v>0</v>
      </c>
      <c r="K597" s="20">
        <f t="shared" si="19"/>
        <v>1</v>
      </c>
    </row>
    <row r="598" spans="1:11" x14ac:dyDescent="0.35">
      <c r="A598" s="20" t="s">
        <v>118</v>
      </c>
      <c r="B598" s="20" t="s">
        <v>163</v>
      </c>
      <c r="C598" s="20" t="s">
        <v>133</v>
      </c>
      <c r="D598" s="20" t="s">
        <v>1107</v>
      </c>
      <c r="E598" s="20" t="s">
        <v>189</v>
      </c>
      <c r="F598" s="20" t="s">
        <v>870</v>
      </c>
      <c r="G598" s="20" t="s">
        <v>191</v>
      </c>
      <c r="H598" s="20">
        <v>1</v>
      </c>
      <c r="I598" s="20">
        <v>0</v>
      </c>
      <c r="J598" s="22">
        <f t="shared" si="18"/>
        <v>0</v>
      </c>
      <c r="K598" s="20">
        <f t="shared" si="19"/>
        <v>1</v>
      </c>
    </row>
    <row r="599" spans="1:11" x14ac:dyDescent="0.35">
      <c r="A599" s="20" t="s">
        <v>118</v>
      </c>
      <c r="B599" s="20" t="s">
        <v>163</v>
      </c>
      <c r="C599" s="20" t="s">
        <v>133</v>
      </c>
      <c r="D599" s="20" t="s">
        <v>1108</v>
      </c>
      <c r="E599" s="20" t="s">
        <v>189</v>
      </c>
      <c r="F599" s="20" t="s">
        <v>1109</v>
      </c>
      <c r="G599" s="20" t="s">
        <v>191</v>
      </c>
      <c r="H599" s="20">
        <v>1</v>
      </c>
      <c r="I599" s="20">
        <v>0</v>
      </c>
      <c r="J599" s="22">
        <f t="shared" si="18"/>
        <v>0</v>
      </c>
      <c r="K599" s="20">
        <f t="shared" si="19"/>
        <v>1</v>
      </c>
    </row>
    <row r="600" spans="1:11" x14ac:dyDescent="0.35">
      <c r="A600" s="20" t="s">
        <v>118</v>
      </c>
      <c r="B600" s="20" t="s">
        <v>163</v>
      </c>
      <c r="C600" s="20" t="s">
        <v>133</v>
      </c>
      <c r="D600" s="20" t="s">
        <v>1110</v>
      </c>
      <c r="E600" s="20" t="s">
        <v>189</v>
      </c>
      <c r="F600" s="20" t="s">
        <v>1111</v>
      </c>
      <c r="G600" s="20" t="s">
        <v>191</v>
      </c>
      <c r="H600" s="20">
        <v>1</v>
      </c>
      <c r="I600" s="20">
        <v>0</v>
      </c>
      <c r="J600" s="22">
        <f t="shared" si="18"/>
        <v>0</v>
      </c>
      <c r="K600" s="20">
        <f t="shared" si="19"/>
        <v>1</v>
      </c>
    </row>
    <row r="601" spans="1:11" x14ac:dyDescent="0.35">
      <c r="A601" s="20" t="s">
        <v>118</v>
      </c>
      <c r="B601" s="20" t="s">
        <v>163</v>
      </c>
      <c r="C601" s="20" t="s">
        <v>133</v>
      </c>
      <c r="D601" s="20" t="s">
        <v>1112</v>
      </c>
      <c r="E601" s="20" t="s">
        <v>189</v>
      </c>
      <c r="F601" s="20" t="s">
        <v>637</v>
      </c>
      <c r="G601" s="20" t="s">
        <v>191</v>
      </c>
      <c r="H601" s="20">
        <v>1</v>
      </c>
      <c r="I601" s="20">
        <v>0</v>
      </c>
      <c r="J601" s="22">
        <f t="shared" si="18"/>
        <v>0</v>
      </c>
      <c r="K601" s="20">
        <f t="shared" si="19"/>
        <v>1</v>
      </c>
    </row>
    <row r="602" spans="1:11" x14ac:dyDescent="0.35">
      <c r="A602" s="20" t="s">
        <v>118</v>
      </c>
      <c r="B602" s="20" t="s">
        <v>163</v>
      </c>
      <c r="C602" s="20" t="s">
        <v>133</v>
      </c>
      <c r="D602" s="20" t="s">
        <v>1113</v>
      </c>
      <c r="E602" s="20" t="s">
        <v>189</v>
      </c>
      <c r="F602" s="20" t="s">
        <v>1114</v>
      </c>
      <c r="G602" s="20" t="s">
        <v>191</v>
      </c>
      <c r="H602" s="20">
        <v>1</v>
      </c>
      <c r="I602" s="20">
        <v>0</v>
      </c>
      <c r="J602" s="22">
        <f t="shared" si="18"/>
        <v>0</v>
      </c>
      <c r="K602" s="20">
        <f t="shared" si="19"/>
        <v>1</v>
      </c>
    </row>
    <row r="603" spans="1:11" x14ac:dyDescent="0.35">
      <c r="A603" s="20" t="s">
        <v>118</v>
      </c>
      <c r="B603" s="20" t="s">
        <v>163</v>
      </c>
      <c r="C603" s="20" t="s">
        <v>133</v>
      </c>
      <c r="D603" s="20" t="s">
        <v>1115</v>
      </c>
      <c r="E603" s="20" t="s">
        <v>189</v>
      </c>
      <c r="F603" s="20" t="s">
        <v>637</v>
      </c>
      <c r="G603" s="20" t="s">
        <v>191</v>
      </c>
      <c r="H603" s="20">
        <v>1</v>
      </c>
      <c r="I603" s="20">
        <v>0</v>
      </c>
      <c r="J603" s="22">
        <f t="shared" si="18"/>
        <v>0</v>
      </c>
      <c r="K603" s="20">
        <f t="shared" si="19"/>
        <v>1</v>
      </c>
    </row>
    <row r="604" spans="1:11" x14ac:dyDescent="0.35">
      <c r="A604" s="20" t="s">
        <v>118</v>
      </c>
      <c r="B604" s="20" t="s">
        <v>163</v>
      </c>
      <c r="C604" s="20" t="s">
        <v>133</v>
      </c>
      <c r="D604" s="20" t="s">
        <v>1116</v>
      </c>
      <c r="E604" s="20" t="s">
        <v>189</v>
      </c>
      <c r="F604" s="20" t="s">
        <v>1117</v>
      </c>
      <c r="G604" s="20" t="s">
        <v>191</v>
      </c>
      <c r="H604" s="20">
        <v>1</v>
      </c>
      <c r="I604" s="20">
        <v>0</v>
      </c>
      <c r="J604" s="22">
        <f t="shared" si="18"/>
        <v>0</v>
      </c>
      <c r="K604" s="20">
        <f t="shared" si="19"/>
        <v>1</v>
      </c>
    </row>
    <row r="605" spans="1:11" x14ac:dyDescent="0.35">
      <c r="A605" s="20" t="s">
        <v>118</v>
      </c>
      <c r="B605" s="20" t="s">
        <v>163</v>
      </c>
      <c r="C605" s="20" t="s">
        <v>133</v>
      </c>
      <c r="D605" s="20" t="s">
        <v>1116</v>
      </c>
      <c r="E605" s="20" t="s">
        <v>189</v>
      </c>
      <c r="F605" s="20" t="s">
        <v>1118</v>
      </c>
      <c r="G605" s="20" t="s">
        <v>191</v>
      </c>
      <c r="H605" s="20">
        <v>1</v>
      </c>
      <c r="I605" s="20">
        <v>0</v>
      </c>
      <c r="J605" s="22">
        <f t="shared" si="18"/>
        <v>0</v>
      </c>
      <c r="K605" s="20">
        <f t="shared" si="19"/>
        <v>1</v>
      </c>
    </row>
    <row r="606" spans="1:11" x14ac:dyDescent="0.35">
      <c r="A606" s="20" t="s">
        <v>118</v>
      </c>
      <c r="B606" s="20" t="s">
        <v>163</v>
      </c>
      <c r="C606" s="20" t="s">
        <v>133</v>
      </c>
      <c r="D606" s="20" t="s">
        <v>1116</v>
      </c>
      <c r="E606" s="20" t="s">
        <v>189</v>
      </c>
      <c r="F606" s="20" t="s">
        <v>1119</v>
      </c>
      <c r="G606" s="20" t="s">
        <v>191</v>
      </c>
      <c r="H606" s="20">
        <v>1</v>
      </c>
      <c r="I606" s="20">
        <v>0</v>
      </c>
      <c r="J606" s="22">
        <f t="shared" si="18"/>
        <v>0</v>
      </c>
      <c r="K606" s="20">
        <f t="shared" si="19"/>
        <v>1</v>
      </c>
    </row>
    <row r="607" spans="1:11" x14ac:dyDescent="0.35">
      <c r="A607" s="20" t="s">
        <v>118</v>
      </c>
      <c r="B607" s="20" t="s">
        <v>163</v>
      </c>
      <c r="C607" s="20" t="s">
        <v>133</v>
      </c>
      <c r="D607" s="20" t="s">
        <v>1116</v>
      </c>
      <c r="E607" s="20" t="s">
        <v>189</v>
      </c>
      <c r="F607" s="20" t="s">
        <v>1120</v>
      </c>
      <c r="G607" s="20" t="s">
        <v>191</v>
      </c>
      <c r="H607" s="20">
        <v>1</v>
      </c>
      <c r="I607" s="20">
        <v>0</v>
      </c>
      <c r="J607" s="22">
        <f t="shared" si="18"/>
        <v>0</v>
      </c>
      <c r="K607" s="20">
        <f t="shared" si="19"/>
        <v>1</v>
      </c>
    </row>
    <row r="608" spans="1:11" x14ac:dyDescent="0.35">
      <c r="A608" s="20" t="s">
        <v>118</v>
      </c>
      <c r="B608" s="20" t="s">
        <v>163</v>
      </c>
      <c r="C608" s="20" t="s">
        <v>133</v>
      </c>
      <c r="D608" s="20" t="s">
        <v>1116</v>
      </c>
      <c r="E608" s="20" t="s">
        <v>189</v>
      </c>
      <c r="F608" s="20" t="s">
        <v>1121</v>
      </c>
      <c r="G608" s="20" t="s">
        <v>191</v>
      </c>
      <c r="H608" s="20">
        <v>1</v>
      </c>
      <c r="I608" s="20">
        <v>0</v>
      </c>
      <c r="J608" s="22">
        <f t="shared" si="18"/>
        <v>0</v>
      </c>
      <c r="K608" s="20">
        <f t="shared" si="19"/>
        <v>1</v>
      </c>
    </row>
    <row r="609" spans="1:11" x14ac:dyDescent="0.35">
      <c r="A609" s="20" t="s">
        <v>118</v>
      </c>
      <c r="B609" s="20" t="s">
        <v>163</v>
      </c>
      <c r="C609" s="20" t="s">
        <v>133</v>
      </c>
      <c r="D609" s="20" t="s">
        <v>1116</v>
      </c>
      <c r="E609" s="20" t="s">
        <v>189</v>
      </c>
      <c r="F609" s="20" t="s">
        <v>1122</v>
      </c>
      <c r="G609" s="20" t="s">
        <v>191</v>
      </c>
      <c r="H609" s="20">
        <v>1</v>
      </c>
      <c r="I609" s="20">
        <v>0</v>
      </c>
      <c r="J609" s="22">
        <f t="shared" si="18"/>
        <v>0</v>
      </c>
      <c r="K609" s="20">
        <f t="shared" si="19"/>
        <v>1</v>
      </c>
    </row>
    <row r="610" spans="1:11" x14ac:dyDescent="0.35">
      <c r="A610" s="20" t="s">
        <v>118</v>
      </c>
      <c r="B610" s="20" t="s">
        <v>163</v>
      </c>
      <c r="C610" s="20" t="s">
        <v>133</v>
      </c>
      <c r="D610" s="20" t="s">
        <v>1116</v>
      </c>
      <c r="E610" s="20" t="s">
        <v>189</v>
      </c>
      <c r="F610" s="20" t="s">
        <v>1123</v>
      </c>
      <c r="G610" s="20" t="s">
        <v>191</v>
      </c>
      <c r="H610" s="20">
        <v>1</v>
      </c>
      <c r="I610" s="20">
        <v>0</v>
      </c>
      <c r="J610" s="22">
        <f t="shared" si="18"/>
        <v>0</v>
      </c>
      <c r="K610" s="20">
        <f t="shared" si="19"/>
        <v>1</v>
      </c>
    </row>
    <row r="611" spans="1:11" x14ac:dyDescent="0.35">
      <c r="A611" s="20" t="s">
        <v>118</v>
      </c>
      <c r="B611" s="20" t="s">
        <v>163</v>
      </c>
      <c r="C611" s="20" t="s">
        <v>133</v>
      </c>
      <c r="D611" s="20" t="s">
        <v>1116</v>
      </c>
      <c r="E611" s="20" t="s">
        <v>189</v>
      </c>
      <c r="F611" s="20" t="s">
        <v>1124</v>
      </c>
      <c r="G611" s="20" t="s">
        <v>191</v>
      </c>
      <c r="H611" s="20">
        <v>1</v>
      </c>
      <c r="I611" s="20">
        <v>0</v>
      </c>
      <c r="J611" s="22">
        <f t="shared" si="18"/>
        <v>0</v>
      </c>
      <c r="K611" s="20">
        <f t="shared" si="19"/>
        <v>1</v>
      </c>
    </row>
    <row r="612" spans="1:11" x14ac:dyDescent="0.35">
      <c r="A612" s="20" t="s">
        <v>118</v>
      </c>
      <c r="B612" s="20" t="s">
        <v>163</v>
      </c>
      <c r="C612" s="20" t="s">
        <v>133</v>
      </c>
      <c r="D612" s="20" t="s">
        <v>1116</v>
      </c>
      <c r="E612" s="20" t="s">
        <v>189</v>
      </c>
      <c r="F612" s="20" t="s">
        <v>1125</v>
      </c>
      <c r="G612" s="20" t="s">
        <v>191</v>
      </c>
      <c r="H612" s="20">
        <v>1</v>
      </c>
      <c r="I612" s="20">
        <v>0</v>
      </c>
      <c r="J612" s="22">
        <f t="shared" ref="J612:J655" si="20">IFERROR(I612/H612,0)</f>
        <v>0</v>
      </c>
      <c r="K612" s="20">
        <f t="shared" ref="K612:K655" si="21">H612-I612</f>
        <v>1</v>
      </c>
    </row>
    <row r="613" spans="1:11" x14ac:dyDescent="0.35">
      <c r="A613" s="20" t="s">
        <v>118</v>
      </c>
      <c r="B613" s="20" t="s">
        <v>163</v>
      </c>
      <c r="C613" s="20" t="s">
        <v>133</v>
      </c>
      <c r="D613" s="20" t="s">
        <v>1116</v>
      </c>
      <c r="E613" s="20" t="s">
        <v>189</v>
      </c>
      <c r="F613" s="20" t="s">
        <v>1126</v>
      </c>
      <c r="G613" s="20" t="s">
        <v>191</v>
      </c>
      <c r="H613" s="20">
        <v>1</v>
      </c>
      <c r="I613" s="20">
        <v>0</v>
      </c>
      <c r="J613" s="22">
        <f t="shared" si="20"/>
        <v>0</v>
      </c>
      <c r="K613" s="20">
        <f t="shared" si="21"/>
        <v>1</v>
      </c>
    </row>
    <row r="614" spans="1:11" x14ac:dyDescent="0.35">
      <c r="A614" s="20" t="s">
        <v>118</v>
      </c>
      <c r="B614" s="20" t="s">
        <v>163</v>
      </c>
      <c r="C614" s="20" t="s">
        <v>133</v>
      </c>
      <c r="D614" s="20" t="s">
        <v>1116</v>
      </c>
      <c r="E614" s="20" t="s">
        <v>189</v>
      </c>
      <c r="F614" s="20" t="s">
        <v>1127</v>
      </c>
      <c r="G614" s="20" t="s">
        <v>191</v>
      </c>
      <c r="H614" s="20">
        <v>1</v>
      </c>
      <c r="I614" s="20">
        <v>0</v>
      </c>
      <c r="J614" s="22">
        <f t="shared" si="20"/>
        <v>0</v>
      </c>
      <c r="K614" s="20">
        <f t="shared" si="21"/>
        <v>1</v>
      </c>
    </row>
    <row r="615" spans="1:11" x14ac:dyDescent="0.35">
      <c r="A615" s="20" t="s">
        <v>118</v>
      </c>
      <c r="B615" s="20" t="s">
        <v>163</v>
      </c>
      <c r="C615" s="20" t="s">
        <v>133</v>
      </c>
      <c r="D615" s="20" t="s">
        <v>1116</v>
      </c>
      <c r="E615" s="20" t="s">
        <v>189</v>
      </c>
      <c r="F615" s="20" t="s">
        <v>1128</v>
      </c>
      <c r="G615" s="20" t="s">
        <v>191</v>
      </c>
      <c r="H615" s="20">
        <v>1</v>
      </c>
      <c r="I615" s="20">
        <v>0</v>
      </c>
      <c r="J615" s="22">
        <f t="shared" si="20"/>
        <v>0</v>
      </c>
      <c r="K615" s="20">
        <f t="shared" si="21"/>
        <v>1</v>
      </c>
    </row>
    <row r="616" spans="1:11" x14ac:dyDescent="0.35">
      <c r="A616" s="20" t="s">
        <v>118</v>
      </c>
      <c r="B616" s="20" t="s">
        <v>163</v>
      </c>
      <c r="C616" s="20" t="s">
        <v>133</v>
      </c>
      <c r="D616" s="20" t="s">
        <v>1116</v>
      </c>
      <c r="E616" s="20" t="s">
        <v>189</v>
      </c>
      <c r="F616" s="20" t="s">
        <v>1129</v>
      </c>
      <c r="G616" s="20" t="s">
        <v>191</v>
      </c>
      <c r="H616" s="20">
        <v>1</v>
      </c>
      <c r="I616" s="20">
        <v>0</v>
      </c>
      <c r="J616" s="22">
        <f t="shared" si="20"/>
        <v>0</v>
      </c>
      <c r="K616" s="20">
        <f t="shared" si="21"/>
        <v>1</v>
      </c>
    </row>
    <row r="617" spans="1:11" x14ac:dyDescent="0.35">
      <c r="A617" s="20" t="s">
        <v>118</v>
      </c>
      <c r="B617" s="20" t="s">
        <v>163</v>
      </c>
      <c r="C617" s="20" t="s">
        <v>133</v>
      </c>
      <c r="D617" s="20" t="s">
        <v>1116</v>
      </c>
      <c r="E617" s="20" t="s">
        <v>189</v>
      </c>
      <c r="F617" s="20" t="s">
        <v>1130</v>
      </c>
      <c r="G617" s="20" t="s">
        <v>191</v>
      </c>
      <c r="H617" s="20">
        <v>1</v>
      </c>
      <c r="I617" s="20">
        <v>0</v>
      </c>
      <c r="J617" s="22">
        <f t="shared" si="20"/>
        <v>0</v>
      </c>
      <c r="K617" s="20">
        <f t="shared" si="21"/>
        <v>1</v>
      </c>
    </row>
    <row r="618" spans="1:11" x14ac:dyDescent="0.35">
      <c r="A618" s="20" t="s">
        <v>118</v>
      </c>
      <c r="B618" s="20" t="s">
        <v>163</v>
      </c>
      <c r="C618" s="20" t="s">
        <v>133</v>
      </c>
      <c r="D618" s="20" t="s">
        <v>1116</v>
      </c>
      <c r="E618" s="20" t="s">
        <v>189</v>
      </c>
      <c r="F618" s="20" t="s">
        <v>1131</v>
      </c>
      <c r="G618" s="20" t="s">
        <v>191</v>
      </c>
      <c r="H618" s="20">
        <v>1</v>
      </c>
      <c r="I618" s="20">
        <v>0</v>
      </c>
      <c r="J618" s="22">
        <f t="shared" si="20"/>
        <v>0</v>
      </c>
      <c r="K618" s="20">
        <f t="shared" si="21"/>
        <v>1</v>
      </c>
    </row>
    <row r="619" spans="1:11" x14ac:dyDescent="0.35">
      <c r="A619" s="20" t="s">
        <v>118</v>
      </c>
      <c r="B619" s="20" t="s">
        <v>163</v>
      </c>
      <c r="C619" s="20" t="s">
        <v>133</v>
      </c>
      <c r="D619" s="20" t="s">
        <v>1116</v>
      </c>
      <c r="E619" s="20" t="s">
        <v>189</v>
      </c>
      <c r="F619" s="20" t="s">
        <v>1132</v>
      </c>
      <c r="G619" s="20" t="s">
        <v>191</v>
      </c>
      <c r="H619" s="20">
        <v>1</v>
      </c>
      <c r="I619" s="20">
        <v>0</v>
      </c>
      <c r="J619" s="22">
        <f t="shared" si="20"/>
        <v>0</v>
      </c>
      <c r="K619" s="20">
        <f t="shared" si="21"/>
        <v>1</v>
      </c>
    </row>
    <row r="620" spans="1:11" x14ac:dyDescent="0.35">
      <c r="A620" s="20" t="s">
        <v>118</v>
      </c>
      <c r="B620" s="20" t="s">
        <v>163</v>
      </c>
      <c r="C620" s="20" t="s">
        <v>133</v>
      </c>
      <c r="D620" s="20" t="s">
        <v>1116</v>
      </c>
      <c r="E620" s="20" t="s">
        <v>189</v>
      </c>
      <c r="F620" s="20" t="s">
        <v>1133</v>
      </c>
      <c r="G620" s="20" t="s">
        <v>191</v>
      </c>
      <c r="H620" s="20">
        <v>1</v>
      </c>
      <c r="I620" s="20">
        <v>0</v>
      </c>
      <c r="J620" s="22">
        <f t="shared" si="20"/>
        <v>0</v>
      </c>
      <c r="K620" s="20">
        <f t="shared" si="21"/>
        <v>1</v>
      </c>
    </row>
    <row r="621" spans="1:11" x14ac:dyDescent="0.35">
      <c r="A621" s="20" t="s">
        <v>118</v>
      </c>
      <c r="B621" s="20" t="s">
        <v>163</v>
      </c>
      <c r="C621" s="20" t="s">
        <v>133</v>
      </c>
      <c r="D621" s="20" t="s">
        <v>1116</v>
      </c>
      <c r="E621" s="20" t="s">
        <v>189</v>
      </c>
      <c r="F621" s="20" t="s">
        <v>1134</v>
      </c>
      <c r="G621" s="20" t="s">
        <v>191</v>
      </c>
      <c r="H621" s="20">
        <v>1</v>
      </c>
      <c r="I621" s="20">
        <v>0</v>
      </c>
      <c r="J621" s="22">
        <f t="shared" si="20"/>
        <v>0</v>
      </c>
      <c r="K621" s="20">
        <f t="shared" si="21"/>
        <v>1</v>
      </c>
    </row>
    <row r="622" spans="1:11" x14ac:dyDescent="0.35">
      <c r="A622" s="20" t="s">
        <v>118</v>
      </c>
      <c r="B622" s="20" t="s">
        <v>163</v>
      </c>
      <c r="C622" s="20" t="s">
        <v>133</v>
      </c>
      <c r="D622" s="20" t="s">
        <v>1116</v>
      </c>
      <c r="E622" s="20" t="s">
        <v>189</v>
      </c>
      <c r="F622" s="20" t="s">
        <v>1135</v>
      </c>
      <c r="G622" s="20" t="s">
        <v>191</v>
      </c>
      <c r="H622" s="20">
        <v>1</v>
      </c>
      <c r="I622" s="20">
        <v>0</v>
      </c>
      <c r="J622" s="22">
        <f t="shared" si="20"/>
        <v>0</v>
      </c>
      <c r="K622" s="20">
        <f t="shared" si="21"/>
        <v>1</v>
      </c>
    </row>
    <row r="623" spans="1:11" x14ac:dyDescent="0.35">
      <c r="A623" s="20" t="s">
        <v>118</v>
      </c>
      <c r="B623" s="20" t="s">
        <v>163</v>
      </c>
      <c r="C623" s="20" t="s">
        <v>133</v>
      </c>
      <c r="D623" s="20" t="s">
        <v>1116</v>
      </c>
      <c r="E623" s="20" t="s">
        <v>189</v>
      </c>
      <c r="F623" s="20" t="s">
        <v>1136</v>
      </c>
      <c r="G623" s="20" t="s">
        <v>191</v>
      </c>
      <c r="H623" s="20">
        <v>1</v>
      </c>
      <c r="I623" s="20">
        <v>0</v>
      </c>
      <c r="J623" s="22">
        <f t="shared" si="20"/>
        <v>0</v>
      </c>
      <c r="K623" s="20">
        <f t="shared" si="21"/>
        <v>1</v>
      </c>
    </row>
    <row r="624" spans="1:11" x14ac:dyDescent="0.35">
      <c r="A624" s="20" t="s">
        <v>118</v>
      </c>
      <c r="B624" s="20" t="s">
        <v>163</v>
      </c>
      <c r="C624" s="20" t="s">
        <v>133</v>
      </c>
      <c r="D624" s="20" t="s">
        <v>1137</v>
      </c>
      <c r="E624" s="20" t="s">
        <v>189</v>
      </c>
      <c r="F624" s="20" t="s">
        <v>1138</v>
      </c>
      <c r="G624" s="20" t="s">
        <v>191</v>
      </c>
      <c r="H624" s="20">
        <v>1</v>
      </c>
      <c r="I624" s="20">
        <v>0</v>
      </c>
      <c r="J624" s="22">
        <f t="shared" si="20"/>
        <v>0</v>
      </c>
      <c r="K624" s="20">
        <f t="shared" si="21"/>
        <v>1</v>
      </c>
    </row>
    <row r="625" spans="1:11" x14ac:dyDescent="0.35">
      <c r="A625" s="20" t="s">
        <v>118</v>
      </c>
      <c r="B625" s="20" t="s">
        <v>163</v>
      </c>
      <c r="C625" s="20" t="s">
        <v>133</v>
      </c>
      <c r="D625" s="20" t="s">
        <v>1137</v>
      </c>
      <c r="E625" s="20" t="s">
        <v>189</v>
      </c>
      <c r="F625" s="20" t="s">
        <v>1139</v>
      </c>
      <c r="G625" s="20" t="s">
        <v>191</v>
      </c>
      <c r="H625" s="20">
        <v>1</v>
      </c>
      <c r="I625" s="20">
        <v>0</v>
      </c>
      <c r="J625" s="22">
        <f t="shared" si="20"/>
        <v>0</v>
      </c>
      <c r="K625" s="20">
        <f t="shared" si="21"/>
        <v>1</v>
      </c>
    </row>
    <row r="626" spans="1:11" x14ac:dyDescent="0.35">
      <c r="A626" s="20" t="s">
        <v>118</v>
      </c>
      <c r="B626" s="20" t="s">
        <v>163</v>
      </c>
      <c r="C626" s="20" t="s">
        <v>133</v>
      </c>
      <c r="D626" s="20" t="s">
        <v>1137</v>
      </c>
      <c r="E626" s="20" t="s">
        <v>189</v>
      </c>
      <c r="F626" s="20" t="s">
        <v>1140</v>
      </c>
      <c r="G626" s="20" t="s">
        <v>191</v>
      </c>
      <c r="H626" s="20">
        <v>1</v>
      </c>
      <c r="I626" s="20">
        <v>0</v>
      </c>
      <c r="J626" s="22">
        <f t="shared" si="20"/>
        <v>0</v>
      </c>
      <c r="K626" s="20">
        <f t="shared" si="21"/>
        <v>1</v>
      </c>
    </row>
    <row r="627" spans="1:11" x14ac:dyDescent="0.35">
      <c r="A627" s="20" t="s">
        <v>118</v>
      </c>
      <c r="B627" s="20" t="s">
        <v>163</v>
      </c>
      <c r="C627" s="20" t="s">
        <v>133</v>
      </c>
      <c r="D627" s="20" t="s">
        <v>1137</v>
      </c>
      <c r="E627" s="20" t="s">
        <v>189</v>
      </c>
      <c r="F627" s="20" t="s">
        <v>1141</v>
      </c>
      <c r="G627" s="20" t="s">
        <v>191</v>
      </c>
      <c r="H627" s="20">
        <v>1</v>
      </c>
      <c r="I627" s="20">
        <v>0</v>
      </c>
      <c r="J627" s="22">
        <f t="shared" si="20"/>
        <v>0</v>
      </c>
      <c r="K627" s="20">
        <f t="shared" si="21"/>
        <v>1</v>
      </c>
    </row>
    <row r="628" spans="1:11" x14ac:dyDescent="0.35">
      <c r="A628" s="20" t="s">
        <v>118</v>
      </c>
      <c r="B628" s="20" t="s">
        <v>163</v>
      </c>
      <c r="C628" s="20" t="s">
        <v>133</v>
      </c>
      <c r="D628" s="20" t="s">
        <v>1142</v>
      </c>
      <c r="E628" s="20" t="s">
        <v>189</v>
      </c>
      <c r="F628" s="20" t="s">
        <v>1143</v>
      </c>
      <c r="G628" s="20" t="s">
        <v>191</v>
      </c>
      <c r="H628" s="20">
        <v>1</v>
      </c>
      <c r="I628" s="20">
        <v>0</v>
      </c>
      <c r="J628" s="22">
        <f t="shared" si="20"/>
        <v>0</v>
      </c>
      <c r="K628" s="20">
        <f t="shared" si="21"/>
        <v>1</v>
      </c>
    </row>
    <row r="629" spans="1:11" x14ac:dyDescent="0.35">
      <c r="A629" s="20" t="s">
        <v>118</v>
      </c>
      <c r="B629" s="20" t="s">
        <v>163</v>
      </c>
      <c r="C629" s="20" t="s">
        <v>133</v>
      </c>
      <c r="D629" s="20" t="s">
        <v>1142</v>
      </c>
      <c r="E629" s="20" t="s">
        <v>189</v>
      </c>
      <c r="F629" s="20" t="s">
        <v>1144</v>
      </c>
      <c r="G629" s="20" t="s">
        <v>191</v>
      </c>
      <c r="H629" s="20">
        <v>1</v>
      </c>
      <c r="I629" s="20">
        <v>0</v>
      </c>
      <c r="J629" s="22">
        <f t="shared" si="20"/>
        <v>0</v>
      </c>
      <c r="K629" s="20">
        <f t="shared" si="21"/>
        <v>1</v>
      </c>
    </row>
    <row r="630" spans="1:11" x14ac:dyDescent="0.35">
      <c r="A630" s="20" t="s">
        <v>118</v>
      </c>
      <c r="B630" s="20" t="s">
        <v>163</v>
      </c>
      <c r="C630" s="20" t="s">
        <v>133</v>
      </c>
      <c r="D630" s="20" t="s">
        <v>1145</v>
      </c>
      <c r="E630" s="20" t="s">
        <v>189</v>
      </c>
      <c r="F630" s="20" t="s">
        <v>1146</v>
      </c>
      <c r="G630" s="20" t="s">
        <v>191</v>
      </c>
      <c r="H630" s="20">
        <v>1</v>
      </c>
      <c r="I630" s="20">
        <v>0</v>
      </c>
      <c r="J630" s="22">
        <f t="shared" si="20"/>
        <v>0</v>
      </c>
      <c r="K630" s="20">
        <f t="shared" si="21"/>
        <v>1</v>
      </c>
    </row>
    <row r="631" spans="1:11" x14ac:dyDescent="0.35">
      <c r="A631" s="20" t="s">
        <v>118</v>
      </c>
      <c r="B631" s="20" t="s">
        <v>163</v>
      </c>
      <c r="C631" s="20" t="s">
        <v>133</v>
      </c>
      <c r="D631" s="20" t="s">
        <v>1147</v>
      </c>
      <c r="E631" s="20" t="s">
        <v>189</v>
      </c>
      <c r="F631" s="20" t="s">
        <v>1148</v>
      </c>
      <c r="G631" s="20" t="s">
        <v>191</v>
      </c>
      <c r="H631" s="20">
        <v>1</v>
      </c>
      <c r="I631" s="20">
        <v>0</v>
      </c>
      <c r="J631" s="22">
        <f t="shared" si="20"/>
        <v>0</v>
      </c>
      <c r="K631" s="20">
        <f t="shared" si="21"/>
        <v>1</v>
      </c>
    </row>
    <row r="632" spans="1:11" x14ac:dyDescent="0.35">
      <c r="A632" s="20" t="s">
        <v>118</v>
      </c>
      <c r="B632" s="20" t="s">
        <v>163</v>
      </c>
      <c r="C632" s="20" t="s">
        <v>133</v>
      </c>
      <c r="D632" s="53" t="s">
        <v>1149</v>
      </c>
      <c r="E632" s="20" t="s">
        <v>189</v>
      </c>
      <c r="F632" s="53" t="s">
        <v>1150</v>
      </c>
      <c r="G632" s="20" t="s">
        <v>191</v>
      </c>
      <c r="H632" s="20">
        <v>1</v>
      </c>
      <c r="I632" s="20">
        <v>0</v>
      </c>
      <c r="J632" s="22">
        <f t="shared" si="20"/>
        <v>0</v>
      </c>
      <c r="K632" s="20">
        <f t="shared" si="21"/>
        <v>1</v>
      </c>
    </row>
    <row r="633" spans="1:11" x14ac:dyDescent="0.35">
      <c r="A633" s="20" t="s">
        <v>118</v>
      </c>
      <c r="B633" s="20" t="s">
        <v>163</v>
      </c>
      <c r="C633" s="20" t="s">
        <v>133</v>
      </c>
      <c r="D633" s="20" t="s">
        <v>1151</v>
      </c>
      <c r="E633" s="20" t="s">
        <v>189</v>
      </c>
      <c r="F633" s="20" t="s">
        <v>602</v>
      </c>
      <c r="G633" s="20" t="s">
        <v>191</v>
      </c>
      <c r="H633" s="20">
        <v>1</v>
      </c>
      <c r="I633" s="20">
        <v>0</v>
      </c>
      <c r="J633" s="22">
        <f t="shared" si="20"/>
        <v>0</v>
      </c>
      <c r="K633" s="20">
        <f t="shared" si="21"/>
        <v>1</v>
      </c>
    </row>
    <row r="634" spans="1:11" x14ac:dyDescent="0.35">
      <c r="A634" s="20" t="s">
        <v>118</v>
      </c>
      <c r="B634" s="20" t="s">
        <v>163</v>
      </c>
      <c r="C634" s="20" t="s">
        <v>133</v>
      </c>
      <c r="D634" s="20" t="s">
        <v>1152</v>
      </c>
      <c r="E634" s="20" t="s">
        <v>189</v>
      </c>
      <c r="F634" s="20" t="s">
        <v>604</v>
      </c>
      <c r="G634" s="20" t="s">
        <v>191</v>
      </c>
      <c r="H634" s="20">
        <v>1</v>
      </c>
      <c r="I634" s="20">
        <v>0</v>
      </c>
      <c r="J634" s="22">
        <f t="shared" si="20"/>
        <v>0</v>
      </c>
      <c r="K634" s="20">
        <f t="shared" si="21"/>
        <v>1</v>
      </c>
    </row>
    <row r="635" spans="1:11" x14ac:dyDescent="0.35">
      <c r="A635" s="20" t="s">
        <v>118</v>
      </c>
      <c r="B635" s="20" t="s">
        <v>163</v>
      </c>
      <c r="C635" s="20" t="s">
        <v>133</v>
      </c>
      <c r="D635" s="20" t="s">
        <v>1153</v>
      </c>
      <c r="E635" s="20" t="s">
        <v>189</v>
      </c>
      <c r="F635" s="20" t="s">
        <v>1154</v>
      </c>
      <c r="G635" s="20" t="s">
        <v>191</v>
      </c>
      <c r="H635" s="20">
        <v>1</v>
      </c>
      <c r="I635" s="20">
        <v>0</v>
      </c>
      <c r="J635" s="22">
        <f t="shared" si="20"/>
        <v>0</v>
      </c>
      <c r="K635" s="20">
        <f t="shared" si="21"/>
        <v>1</v>
      </c>
    </row>
    <row r="636" spans="1:11" x14ac:dyDescent="0.35">
      <c r="A636" s="20" t="s">
        <v>118</v>
      </c>
      <c r="B636" s="20" t="s">
        <v>163</v>
      </c>
      <c r="C636" s="20" t="s">
        <v>133</v>
      </c>
      <c r="D636" s="20" t="s">
        <v>1155</v>
      </c>
      <c r="E636" s="20" t="s">
        <v>189</v>
      </c>
      <c r="F636" s="20" t="s">
        <v>1156</v>
      </c>
      <c r="G636" s="20" t="s">
        <v>191</v>
      </c>
      <c r="H636" s="20">
        <v>1</v>
      </c>
      <c r="I636" s="20">
        <v>0</v>
      </c>
      <c r="J636" s="22">
        <f t="shared" si="20"/>
        <v>0</v>
      </c>
      <c r="K636" s="20">
        <f t="shared" si="21"/>
        <v>1</v>
      </c>
    </row>
    <row r="637" spans="1:11" x14ac:dyDescent="0.35">
      <c r="A637" s="20" t="s">
        <v>118</v>
      </c>
      <c r="B637" s="20" t="s">
        <v>163</v>
      </c>
      <c r="C637" s="20" t="s">
        <v>133</v>
      </c>
      <c r="D637" s="20" t="s">
        <v>1157</v>
      </c>
      <c r="E637" s="20" t="s">
        <v>189</v>
      </c>
      <c r="F637" s="20" t="s">
        <v>1158</v>
      </c>
      <c r="G637" s="20" t="s">
        <v>191</v>
      </c>
      <c r="H637" s="20">
        <v>1</v>
      </c>
      <c r="I637" s="20">
        <v>0</v>
      </c>
      <c r="J637" s="22">
        <f t="shared" si="20"/>
        <v>0</v>
      </c>
      <c r="K637" s="20">
        <f t="shared" si="21"/>
        <v>1</v>
      </c>
    </row>
    <row r="638" spans="1:11" x14ac:dyDescent="0.35">
      <c r="A638" s="20" t="s">
        <v>118</v>
      </c>
      <c r="B638" s="20" t="s">
        <v>163</v>
      </c>
      <c r="C638" s="20" t="s">
        <v>133</v>
      </c>
      <c r="D638" s="20" t="s">
        <v>1159</v>
      </c>
      <c r="E638" s="20" t="s">
        <v>189</v>
      </c>
      <c r="F638" s="20" t="s">
        <v>1160</v>
      </c>
      <c r="G638" s="20" t="s">
        <v>191</v>
      </c>
      <c r="H638" s="20">
        <v>1</v>
      </c>
      <c r="I638" s="20">
        <v>0</v>
      </c>
      <c r="J638" s="22">
        <f t="shared" si="20"/>
        <v>0</v>
      </c>
      <c r="K638" s="20">
        <f t="shared" si="21"/>
        <v>1</v>
      </c>
    </row>
    <row r="639" spans="1:11" x14ac:dyDescent="0.35">
      <c r="A639" s="20" t="s">
        <v>118</v>
      </c>
      <c r="B639" s="20" t="s">
        <v>163</v>
      </c>
      <c r="C639" s="20" t="s">
        <v>133</v>
      </c>
      <c r="D639" s="20" t="s">
        <v>1161</v>
      </c>
      <c r="E639" s="20" t="s">
        <v>189</v>
      </c>
      <c r="F639" s="20" t="s">
        <v>1162</v>
      </c>
      <c r="G639" s="20" t="s">
        <v>191</v>
      </c>
      <c r="H639" s="20">
        <v>1</v>
      </c>
      <c r="I639" s="20">
        <v>0</v>
      </c>
      <c r="J639" s="22">
        <f t="shared" si="20"/>
        <v>0</v>
      </c>
      <c r="K639" s="20">
        <f t="shared" si="21"/>
        <v>1</v>
      </c>
    </row>
    <row r="640" spans="1:11" x14ac:dyDescent="0.35">
      <c r="A640" s="20" t="s">
        <v>118</v>
      </c>
      <c r="B640" s="20" t="s">
        <v>163</v>
      </c>
      <c r="C640" s="20" t="s">
        <v>133</v>
      </c>
      <c r="D640" s="20" t="s">
        <v>1163</v>
      </c>
      <c r="E640" s="20" t="s">
        <v>189</v>
      </c>
      <c r="F640" s="20" t="s">
        <v>1164</v>
      </c>
      <c r="G640" s="20" t="s">
        <v>191</v>
      </c>
      <c r="H640" s="20">
        <v>1</v>
      </c>
      <c r="I640" s="20">
        <v>0</v>
      </c>
      <c r="J640" s="22">
        <f t="shared" si="20"/>
        <v>0</v>
      </c>
      <c r="K640" s="20">
        <f t="shared" si="21"/>
        <v>1</v>
      </c>
    </row>
    <row r="641" spans="1:11" x14ac:dyDescent="0.35">
      <c r="A641" s="20" t="s">
        <v>118</v>
      </c>
      <c r="B641" s="20" t="s">
        <v>163</v>
      </c>
      <c r="C641" s="20" t="s">
        <v>133</v>
      </c>
      <c r="D641" s="20" t="s">
        <v>1165</v>
      </c>
      <c r="E641" s="20" t="s">
        <v>189</v>
      </c>
      <c r="F641" s="20" t="s">
        <v>1166</v>
      </c>
      <c r="G641" s="20" t="s">
        <v>191</v>
      </c>
      <c r="H641" s="20">
        <v>1</v>
      </c>
      <c r="I641" s="20">
        <v>0</v>
      </c>
      <c r="J641" s="22">
        <f t="shared" si="20"/>
        <v>0</v>
      </c>
      <c r="K641" s="20">
        <f t="shared" si="21"/>
        <v>1</v>
      </c>
    </row>
    <row r="642" spans="1:11" x14ac:dyDescent="0.35">
      <c r="A642" s="20" t="s">
        <v>118</v>
      </c>
      <c r="B642" s="20" t="s">
        <v>163</v>
      </c>
      <c r="C642" s="20" t="s">
        <v>133</v>
      </c>
      <c r="D642" s="20" t="s">
        <v>1167</v>
      </c>
      <c r="E642" s="20" t="s">
        <v>189</v>
      </c>
      <c r="F642" s="20" t="s">
        <v>1168</v>
      </c>
      <c r="G642" s="20" t="s">
        <v>191</v>
      </c>
      <c r="H642" s="20">
        <v>1</v>
      </c>
      <c r="I642" s="20">
        <v>0</v>
      </c>
      <c r="J642" s="22">
        <f t="shared" si="20"/>
        <v>0</v>
      </c>
      <c r="K642" s="20">
        <f t="shared" si="21"/>
        <v>1</v>
      </c>
    </row>
    <row r="643" spans="1:11" x14ac:dyDescent="0.35">
      <c r="A643" s="20" t="s">
        <v>118</v>
      </c>
      <c r="B643" s="20" t="s">
        <v>163</v>
      </c>
      <c r="C643" s="20" t="s">
        <v>133</v>
      </c>
      <c r="D643" s="20" t="s">
        <v>1169</v>
      </c>
      <c r="E643" s="20" t="s">
        <v>189</v>
      </c>
      <c r="F643" s="20" t="s">
        <v>1170</v>
      </c>
      <c r="G643" s="20" t="s">
        <v>191</v>
      </c>
      <c r="H643" s="20">
        <v>1</v>
      </c>
      <c r="I643" s="20">
        <v>0</v>
      </c>
      <c r="J643" s="22">
        <f t="shared" si="20"/>
        <v>0</v>
      </c>
      <c r="K643" s="20">
        <f t="shared" si="21"/>
        <v>1</v>
      </c>
    </row>
    <row r="644" spans="1:11" x14ac:dyDescent="0.35">
      <c r="A644" s="20" t="s">
        <v>118</v>
      </c>
      <c r="B644" s="20" t="s">
        <v>163</v>
      </c>
      <c r="C644" s="20" t="s">
        <v>133</v>
      </c>
      <c r="D644" s="20" t="s">
        <v>1171</v>
      </c>
      <c r="E644" s="20" t="s">
        <v>189</v>
      </c>
      <c r="F644" s="20" t="s">
        <v>1172</v>
      </c>
      <c r="G644" s="20" t="s">
        <v>191</v>
      </c>
      <c r="H644" s="20">
        <v>1</v>
      </c>
      <c r="I644" s="20">
        <v>0</v>
      </c>
      <c r="J644" s="22">
        <f t="shared" si="20"/>
        <v>0</v>
      </c>
      <c r="K644" s="20">
        <f t="shared" si="21"/>
        <v>1</v>
      </c>
    </row>
    <row r="645" spans="1:11" x14ac:dyDescent="0.35">
      <c r="A645" s="20" t="s">
        <v>118</v>
      </c>
      <c r="B645" s="20" t="s">
        <v>163</v>
      </c>
      <c r="C645" s="20" t="s">
        <v>133</v>
      </c>
      <c r="D645" s="20" t="s">
        <v>1173</v>
      </c>
      <c r="E645" s="20" t="s">
        <v>189</v>
      </c>
      <c r="F645" s="20" t="s">
        <v>1174</v>
      </c>
      <c r="G645" s="20" t="s">
        <v>191</v>
      </c>
      <c r="H645" s="20">
        <v>1</v>
      </c>
      <c r="I645" s="20">
        <v>0</v>
      </c>
      <c r="J645" s="22">
        <f t="shared" si="20"/>
        <v>0</v>
      </c>
      <c r="K645" s="20">
        <f t="shared" si="21"/>
        <v>1</v>
      </c>
    </row>
    <row r="646" spans="1:11" x14ac:dyDescent="0.35">
      <c r="A646" s="20" t="s">
        <v>118</v>
      </c>
      <c r="B646" s="20" t="s">
        <v>163</v>
      </c>
      <c r="C646" s="20" t="s">
        <v>133</v>
      </c>
      <c r="D646" s="20" t="s">
        <v>1175</v>
      </c>
      <c r="E646" s="20" t="s">
        <v>189</v>
      </c>
      <c r="F646" s="20" t="s">
        <v>1176</v>
      </c>
      <c r="G646" s="20" t="s">
        <v>191</v>
      </c>
      <c r="H646" s="20">
        <v>1</v>
      </c>
      <c r="I646" s="20">
        <v>0</v>
      </c>
      <c r="J646" s="22">
        <f t="shared" si="20"/>
        <v>0</v>
      </c>
      <c r="K646" s="20">
        <f t="shared" si="21"/>
        <v>1</v>
      </c>
    </row>
    <row r="647" spans="1:11" x14ac:dyDescent="0.35">
      <c r="A647" s="20" t="s">
        <v>118</v>
      </c>
      <c r="B647" s="20" t="s">
        <v>163</v>
      </c>
      <c r="C647" s="20" t="s">
        <v>133</v>
      </c>
      <c r="D647" s="20" t="s">
        <v>1177</v>
      </c>
      <c r="E647" s="20" t="s">
        <v>189</v>
      </c>
      <c r="F647" s="20" t="s">
        <v>1178</v>
      </c>
      <c r="G647" s="20" t="s">
        <v>191</v>
      </c>
      <c r="H647" s="20">
        <v>1</v>
      </c>
      <c r="I647" s="20">
        <v>0</v>
      </c>
      <c r="J647" s="22">
        <f t="shared" si="20"/>
        <v>0</v>
      </c>
      <c r="K647" s="20">
        <f t="shared" si="21"/>
        <v>1</v>
      </c>
    </row>
    <row r="648" spans="1:11" x14ac:dyDescent="0.35">
      <c r="A648" s="20" t="s">
        <v>118</v>
      </c>
      <c r="B648" s="20" t="s">
        <v>163</v>
      </c>
      <c r="C648" s="20" t="s">
        <v>133</v>
      </c>
      <c r="D648" s="20" t="s">
        <v>1179</v>
      </c>
      <c r="E648" s="20" t="s">
        <v>189</v>
      </c>
      <c r="F648" s="20" t="s">
        <v>1180</v>
      </c>
      <c r="G648" s="20" t="s">
        <v>191</v>
      </c>
      <c r="H648" s="20">
        <v>1</v>
      </c>
      <c r="I648" s="20">
        <v>0</v>
      </c>
      <c r="J648" s="22">
        <f t="shared" si="20"/>
        <v>0</v>
      </c>
      <c r="K648" s="20">
        <f t="shared" si="21"/>
        <v>1</v>
      </c>
    </row>
    <row r="649" spans="1:11" x14ac:dyDescent="0.35">
      <c r="A649" s="20" t="s">
        <v>118</v>
      </c>
      <c r="B649" s="20" t="s">
        <v>163</v>
      </c>
      <c r="C649" s="20" t="s">
        <v>133</v>
      </c>
      <c r="D649" s="20" t="s">
        <v>1181</v>
      </c>
      <c r="E649" s="20" t="s">
        <v>189</v>
      </c>
      <c r="F649" s="20" t="s">
        <v>1182</v>
      </c>
      <c r="G649" s="20" t="s">
        <v>191</v>
      </c>
      <c r="H649" s="20">
        <v>1</v>
      </c>
      <c r="I649" s="20">
        <v>0</v>
      </c>
      <c r="J649" s="22">
        <f t="shared" si="20"/>
        <v>0</v>
      </c>
      <c r="K649" s="20">
        <f t="shared" si="21"/>
        <v>1</v>
      </c>
    </row>
    <row r="650" spans="1:11" x14ac:dyDescent="0.35">
      <c r="A650" s="20" t="s">
        <v>118</v>
      </c>
      <c r="B650" s="20" t="s">
        <v>163</v>
      </c>
      <c r="C650" s="20" t="s">
        <v>133</v>
      </c>
      <c r="D650" s="20" t="s">
        <v>1183</v>
      </c>
      <c r="E650" s="20" t="s">
        <v>189</v>
      </c>
      <c r="F650" s="20" t="s">
        <v>1184</v>
      </c>
      <c r="G650" s="20" t="s">
        <v>191</v>
      </c>
      <c r="H650" s="20">
        <v>1</v>
      </c>
      <c r="I650" s="20">
        <v>0</v>
      </c>
      <c r="J650" s="22">
        <f t="shared" si="20"/>
        <v>0</v>
      </c>
      <c r="K650" s="20">
        <f t="shared" si="21"/>
        <v>1</v>
      </c>
    </row>
    <row r="651" spans="1:11" x14ac:dyDescent="0.35">
      <c r="A651" s="20" t="s">
        <v>118</v>
      </c>
      <c r="B651" s="20" t="s">
        <v>163</v>
      </c>
      <c r="C651" s="20" t="s">
        <v>133</v>
      </c>
      <c r="D651" s="20" t="s">
        <v>1185</v>
      </c>
      <c r="E651" s="20" t="s">
        <v>189</v>
      </c>
      <c r="F651" s="20" t="s">
        <v>1186</v>
      </c>
      <c r="G651" s="20" t="s">
        <v>191</v>
      </c>
      <c r="H651" s="20">
        <v>1</v>
      </c>
      <c r="I651" s="20">
        <v>0</v>
      </c>
      <c r="J651" s="22">
        <f t="shared" si="20"/>
        <v>0</v>
      </c>
      <c r="K651" s="20">
        <f t="shared" si="21"/>
        <v>1</v>
      </c>
    </row>
    <row r="652" spans="1:11" x14ac:dyDescent="0.35">
      <c r="A652" s="20" t="s">
        <v>118</v>
      </c>
      <c r="B652" s="20" t="s">
        <v>163</v>
      </c>
      <c r="C652" s="20" t="s">
        <v>133</v>
      </c>
      <c r="D652" s="20" t="s">
        <v>1187</v>
      </c>
      <c r="E652" s="20" t="s">
        <v>189</v>
      </c>
      <c r="F652" s="20" t="s">
        <v>1188</v>
      </c>
      <c r="G652" s="20" t="s">
        <v>191</v>
      </c>
      <c r="H652" s="20">
        <v>1</v>
      </c>
      <c r="I652" s="20">
        <v>0</v>
      </c>
      <c r="J652" s="22">
        <f t="shared" si="20"/>
        <v>0</v>
      </c>
      <c r="K652" s="20">
        <f t="shared" si="21"/>
        <v>1</v>
      </c>
    </row>
    <row r="653" spans="1:11" x14ac:dyDescent="0.35">
      <c r="A653" s="20" t="s">
        <v>118</v>
      </c>
      <c r="B653" s="20" t="s">
        <v>163</v>
      </c>
      <c r="C653" s="20" t="s">
        <v>133</v>
      </c>
      <c r="D653" s="20" t="s">
        <v>1189</v>
      </c>
      <c r="E653" s="20" t="s">
        <v>189</v>
      </c>
      <c r="F653" s="20" t="s">
        <v>1190</v>
      </c>
      <c r="G653" s="20" t="s">
        <v>191</v>
      </c>
      <c r="H653" s="20">
        <v>1</v>
      </c>
      <c r="I653" s="20">
        <v>0</v>
      </c>
      <c r="J653" s="22">
        <f t="shared" si="20"/>
        <v>0</v>
      </c>
      <c r="K653" s="20">
        <f t="shared" si="21"/>
        <v>1</v>
      </c>
    </row>
    <row r="654" spans="1:11" x14ac:dyDescent="0.35">
      <c r="A654" s="20" t="s">
        <v>118</v>
      </c>
      <c r="B654" s="20" t="s">
        <v>163</v>
      </c>
      <c r="C654" s="20" t="s">
        <v>133</v>
      </c>
      <c r="D654" s="20" t="s">
        <v>1191</v>
      </c>
      <c r="E654" s="20" t="s">
        <v>189</v>
      </c>
      <c r="F654" s="20" t="s">
        <v>1192</v>
      </c>
      <c r="G654" s="20" t="s">
        <v>191</v>
      </c>
      <c r="H654" s="20">
        <v>1</v>
      </c>
      <c r="I654" s="20">
        <v>0</v>
      </c>
      <c r="J654" s="22">
        <f t="shared" si="20"/>
        <v>0</v>
      </c>
      <c r="K654" s="20">
        <f t="shared" si="21"/>
        <v>1</v>
      </c>
    </row>
    <row r="655" spans="1:11" x14ac:dyDescent="0.35">
      <c r="A655" s="20" t="s">
        <v>118</v>
      </c>
      <c r="B655" s="20" t="s">
        <v>163</v>
      </c>
      <c r="C655" s="20" t="s">
        <v>133</v>
      </c>
      <c r="D655" s="53" t="s">
        <v>1193</v>
      </c>
      <c r="E655" s="20" t="s">
        <v>189</v>
      </c>
      <c r="F655" s="53" t="s">
        <v>1194</v>
      </c>
      <c r="G655" s="20" t="s">
        <v>191</v>
      </c>
      <c r="H655" s="20">
        <v>1</v>
      </c>
      <c r="I655" s="20">
        <v>0</v>
      </c>
      <c r="J655" s="22">
        <f t="shared" si="20"/>
        <v>0</v>
      </c>
      <c r="K655" s="20">
        <f t="shared" si="21"/>
        <v>1</v>
      </c>
    </row>
  </sheetData>
  <mergeCells count="1">
    <mergeCell ref="A1:K1"/>
  </mergeCells>
  <phoneticPr fontId="26" type="noConversion"/>
  <pageMargins left="0.75" right="0.75" top="1" bottom="1" header="0.511811023622047" footer="0.511811023622047"/>
  <pageSetup paperSize="9" orientation="portrait" horizontalDpi="300" verticalDpi="300"/>
  <headerFooter>
    <oddFooter>&amp;C_x000D_&amp;1#&amp;"Aptos"&amp;11&amp;K000000 BV_C2_Internal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565C0"/>
  </sheetPr>
  <dimension ref="A1:J25"/>
  <sheetViews>
    <sheetView showGridLines="0" tabSelected="1" zoomScale="80" zoomScaleNormal="80" workbookViewId="0">
      <pane ySplit="2" topLeftCell="A3" activePane="bottomLeft" state="frozen"/>
      <selection pane="bottomLeft" activeCell="D16" sqref="D16"/>
    </sheetView>
  </sheetViews>
  <sheetFormatPr baseColWidth="10" defaultColWidth="8.54296875" defaultRowHeight="14.5" x14ac:dyDescent="0.35"/>
  <cols>
    <col min="1" max="1" width="10" customWidth="1"/>
    <col min="2" max="2" width="60.1796875" customWidth="1"/>
    <col min="3" max="3" width="8" customWidth="1"/>
    <col min="4" max="5" width="18" customWidth="1"/>
    <col min="6" max="6" width="12" customWidth="1"/>
    <col min="7" max="7" width="10" customWidth="1"/>
    <col min="8" max="8" width="18" customWidth="1"/>
    <col min="9" max="9" width="12" customWidth="1"/>
    <col min="10" max="10" width="18" customWidth="1"/>
  </cols>
  <sheetData>
    <row r="1" spans="1:10" ht="30" customHeight="1" x14ac:dyDescent="0.35">
      <c r="A1" s="96" t="s">
        <v>1195</v>
      </c>
      <c r="B1" s="97"/>
      <c r="C1" s="97"/>
      <c r="D1" s="97"/>
      <c r="E1" s="97"/>
      <c r="F1" s="97"/>
      <c r="G1" s="97"/>
      <c r="H1" s="97"/>
      <c r="I1" s="97"/>
      <c r="J1" s="97"/>
    </row>
    <row r="2" spans="1:10" ht="30" customHeight="1" x14ac:dyDescent="0.35">
      <c r="A2" s="19" t="s">
        <v>66</v>
      </c>
      <c r="B2" s="19" t="s">
        <v>13</v>
      </c>
      <c r="C2" s="19" t="s">
        <v>48</v>
      </c>
      <c r="D2" s="19" t="s">
        <v>1196</v>
      </c>
      <c r="E2" s="19" t="s">
        <v>1197</v>
      </c>
      <c r="F2" s="19" t="s">
        <v>23</v>
      </c>
      <c r="G2" s="19" t="s">
        <v>70</v>
      </c>
      <c r="H2" s="19" t="s">
        <v>1198</v>
      </c>
      <c r="I2" s="19" t="s">
        <v>180</v>
      </c>
      <c r="J2" s="19" t="s">
        <v>19</v>
      </c>
    </row>
    <row r="3" spans="1:10" ht="19.5" customHeight="1" x14ac:dyDescent="0.35">
      <c r="A3" s="20" t="s">
        <v>77</v>
      </c>
      <c r="B3" s="20" t="s">
        <v>81</v>
      </c>
      <c r="C3" s="20" t="s">
        <v>78</v>
      </c>
      <c r="D3" s="20" cm="1">
        <f t="array" ref="D3">IFERROR(IF(C3="QC",SUMPRODUCT((LEFT(QC_DETALLE!A$3:A$1000,LEN(A3))=A3)*(QC_DETALLE!B$3:B$1000=B3)*QC_DETALLE!H$3:H$1000),SUMPRODUCT((MASTER_ACTIVIDADES!A$3:A$198=A3)*(MASTER_ACTIVIDADES!F$3:F$198=B3)*(UPPER(MASTER_ACTIVIDADES!M$3:M$198)="SI")*MASTER_ACTIVIDADES!I$3:I$198)),0)</f>
        <v>1</v>
      </c>
      <c r="E3" s="20" cm="1">
        <f t="array" ref="E3">IFERROR(IF(OR(C3="QC",C3="QA"),
SUMPRODUCT((LEFT(QC_DETALLE!A$3:A$223,LEN(A3))=A3)*(QC_DETALLE!B$3:B$223=B3)*QC_DETALLE!I$3:I$223),
SUMPRODUCT((MASTER_ACTIVIDADES!A$3:A$198=A3)*(MASTER_ACTIVIDADES!F$3:F$198=B3)*(UPPER(MASTER_ACTIVIDADES!M$3:M$198)="SI")*(MASTER_ACTIVIDADES!N$3:N$198="Completo")*MASTER_ACTIVIDADES!I$3:I$198)),
0)</f>
        <v>1</v>
      </c>
      <c r="F3" s="22">
        <f t="shared" ref="F3:F25" si="0">IFERROR(E3/D3,0)</f>
        <v>1</v>
      </c>
      <c r="G3" s="20">
        <f>IFERROR(IF(C3="QC",SUMPRODUCT((MASTER_ACTIVIDADES!A$3:A$198=A3)*(MASTER_ACTIVIDADES!F$3:F$198=B3)*(UPPER(MASTER_ACTIVIDADES!M$3:M$198)="SI")*MASTER_ACTIVIDADES!H$3:H$198)/IFERROR(COUNTIFS(MASTER_ACTIVIDADES!A$3:A$198,A3,MASTER_ACTIVIDADES!F$3:F$198,B3,MASTER_ACTIVIDADES!M$3:M$198,"SI"),1),SUMPRODUCT((MASTER_ACTIVIDADES!A$3:A$198=A3)*(MASTER_ACTIVIDADES!F$3:F$198=B3)*(UPPER(MASTER_ACTIVIDADES!M$3:M$198)="SI")*MASTER_ACTIVIDADES!H$3:H$198)/IFERROR(COUNTIFS(MASTER_ACTIVIDADES!A$3:A$198,A3,MASTER_ACTIVIDADES!F$3:F$198,B3,MASTER_ACTIVIDADES!M$3:M$198,"SI"),1)),0)</f>
        <v>6</v>
      </c>
      <c r="H3" s="24">
        <f t="shared" ref="H3:H25" si="1">IFERROR(F3*G3,0)</f>
        <v>6</v>
      </c>
      <c r="I3" s="20">
        <f t="shared" ref="I3:I25" si="2">IFERROR(D3-E3,0)</f>
        <v>0</v>
      </c>
      <c r="J3" s="20" t="str">
        <f t="shared" ref="J3:J25" si="3">IF(F3&gt;=1,"✅ Completo",IF(F3&gt;=0.7,"⚠️ En proceso","🔴 Pendiente"))</f>
        <v>✅ Completo</v>
      </c>
    </row>
    <row r="4" spans="1:10" ht="19.5" customHeight="1" x14ac:dyDescent="0.35">
      <c r="A4" s="21" t="s">
        <v>88</v>
      </c>
      <c r="B4" s="21" t="s">
        <v>81</v>
      </c>
      <c r="C4" s="21" t="s">
        <v>78</v>
      </c>
      <c r="D4" s="20" cm="1">
        <f t="array" ref="D4">IFERROR(IF(C4="QC",SUMPRODUCT((LEFT(QC_DETALLE!A$3:A$1000,LEN(A4))=A4)*(QC_DETALLE!B$3:B$1000=B4)*QC_DETALLE!H$3:H$1000),SUMPRODUCT((MASTER_ACTIVIDADES!A$3:A$198=A4)*(MASTER_ACTIVIDADES!F$3:F$198=B4)*(UPPER(MASTER_ACTIVIDADES!M$3:M$198)="SI")*MASTER_ACTIVIDADES!I$3:I$198)),0)</f>
        <v>1</v>
      </c>
      <c r="E4" s="20" cm="1">
        <f t="array" ref="E4">IFERROR(IF(OR(C4="QC",C4="QA"),
SUMPRODUCT((LEFT(QC_DETALLE!A$3:A$223,LEN(A4))=A4)*(QC_DETALLE!B$3:B$223=B4)*QC_DETALLE!I$3:I$223),
SUMPRODUCT((MASTER_ACTIVIDADES!A$3:A$198=A4)*(MASTER_ACTIVIDADES!F$3:F$198=B4)*(UPPER(MASTER_ACTIVIDADES!M$3:M$198)="SI")*(MASTER_ACTIVIDADES!N$3:N$198="Completo")*MASTER_ACTIVIDADES!I$3:I$198)),
0)</f>
        <v>1</v>
      </c>
      <c r="F4" s="23">
        <f t="shared" si="0"/>
        <v>1</v>
      </c>
      <c r="G4" s="21">
        <f>IFERROR(IF(C4="QC",SUMPRODUCT((MASTER_ACTIVIDADES!A$3:A$198=A4)*(MASTER_ACTIVIDADES!F$3:F$198=B4)*(UPPER(MASTER_ACTIVIDADES!M$3:M$198)="SI")*MASTER_ACTIVIDADES!H$3:H$198)/IFERROR(COUNTIFS(MASTER_ACTIVIDADES!A$3:A$198,A4,MASTER_ACTIVIDADES!F$3:F$198,B4,MASTER_ACTIVIDADES!M$3:M$198,"SI"),1),SUMPRODUCT((MASTER_ACTIVIDADES!A$3:A$198=A4)*(MASTER_ACTIVIDADES!F$3:F$198=B4)*(UPPER(MASTER_ACTIVIDADES!M$3:M$198)="SI")*MASTER_ACTIVIDADES!H$3:H$198)/IFERROR(COUNTIFS(MASTER_ACTIVIDADES!A$3:A$198,A4,MASTER_ACTIVIDADES!F$3:F$198,B4,MASTER_ACTIVIDADES!M$3:M$198,"SI"),1)),0)</f>
        <v>8</v>
      </c>
      <c r="H4" s="25">
        <f t="shared" si="1"/>
        <v>8</v>
      </c>
      <c r="I4" s="21">
        <f t="shared" si="2"/>
        <v>0</v>
      </c>
      <c r="J4" s="21" t="str">
        <f t="shared" si="3"/>
        <v>✅ Completo</v>
      </c>
    </row>
    <row r="5" spans="1:10" ht="19.5" customHeight="1" x14ac:dyDescent="0.35">
      <c r="A5" s="20" t="s">
        <v>92</v>
      </c>
      <c r="B5" s="20" t="s">
        <v>81</v>
      </c>
      <c r="C5" s="20" t="s">
        <v>78</v>
      </c>
      <c r="D5" s="20" cm="1">
        <f t="array" ref="D5">IFERROR(IF(C5="QC",SUMPRODUCT((LEFT(QC_DETALLE!A$3:A$1000,LEN(A5))=A5)*(QC_DETALLE!B$3:B$1000=B5)*QC_DETALLE!H$3:H$1000),SUMPRODUCT((MASTER_ACTIVIDADES!A$3:A$198=A5)*(MASTER_ACTIVIDADES!F$3:F$198=B5)*(UPPER(MASTER_ACTIVIDADES!M$3:M$198)="SI")*MASTER_ACTIVIDADES!I$3:I$198)),0)</f>
        <v>1</v>
      </c>
      <c r="E5" s="20" cm="1">
        <f t="array" ref="E5">IFERROR(IF(OR(C5="QC",C5="QA"),
SUMPRODUCT((LEFT(QC_DETALLE!A$3:A$223,LEN(A5))=A5)*(QC_DETALLE!B$3:B$223=B5)*QC_DETALLE!I$3:I$223),
SUMPRODUCT((MASTER_ACTIVIDADES!A$3:A$198=A5)*(MASTER_ACTIVIDADES!F$3:F$198=B5)*(UPPER(MASTER_ACTIVIDADES!M$3:M$198)="SI")*(MASTER_ACTIVIDADES!N$3:N$198="Completo")*MASTER_ACTIVIDADES!I$3:I$198)),
0)</f>
        <v>1</v>
      </c>
      <c r="F5" s="22">
        <f t="shared" si="0"/>
        <v>1</v>
      </c>
      <c r="G5" s="20">
        <f>IFERROR(IF(C5="QC",SUMPRODUCT((MASTER_ACTIVIDADES!A$3:A$198=A5)*(MASTER_ACTIVIDADES!F$3:F$198=B5)*(UPPER(MASTER_ACTIVIDADES!M$3:M$198)="SI")*MASTER_ACTIVIDADES!H$3:H$198)/IFERROR(COUNTIFS(MASTER_ACTIVIDADES!A$3:A$198,A5,MASTER_ACTIVIDADES!F$3:F$198,B5,MASTER_ACTIVIDADES!M$3:M$198,"SI"),1),SUMPRODUCT((MASTER_ACTIVIDADES!A$3:A$198=A5)*(MASTER_ACTIVIDADES!F$3:F$198=B5)*(UPPER(MASTER_ACTIVIDADES!M$3:M$198)="SI")*MASTER_ACTIVIDADES!H$3:H$198)/IFERROR(COUNTIFS(MASTER_ACTIVIDADES!A$3:A$198,A5,MASTER_ACTIVIDADES!F$3:F$198,B5,MASTER_ACTIVIDADES!M$3:M$198,"SI"),1)),0)</f>
        <v>10</v>
      </c>
      <c r="H5" s="24">
        <f t="shared" si="1"/>
        <v>10</v>
      </c>
      <c r="I5" s="20">
        <f t="shared" si="2"/>
        <v>0</v>
      </c>
      <c r="J5" s="20" t="str">
        <f t="shared" si="3"/>
        <v>✅ Completo</v>
      </c>
    </row>
    <row r="6" spans="1:10" ht="19.5" customHeight="1" x14ac:dyDescent="0.35">
      <c r="A6" s="21" t="s">
        <v>114</v>
      </c>
      <c r="B6" s="21" t="s">
        <v>81</v>
      </c>
      <c r="C6" s="21" t="s">
        <v>115</v>
      </c>
      <c r="D6" s="20" cm="1">
        <f t="array" ref="D6">IFERROR(IF(C6="QC",SUMPRODUCT((LEFT(QC_DETALLE!A$3:A$1000,LEN(A6))=A6)*(QC_DETALLE!B$3:B$1000=B6)*QC_DETALLE!H$3:H$1000),SUMPRODUCT((MASTER_ACTIVIDADES!A$3:A$198=A6)*(MASTER_ACTIVIDADES!F$3:F$198=B6)*(UPPER(MASTER_ACTIVIDADES!M$3:M$198)="SI")*MASTER_ACTIVIDADES!I$3:I$198)),0)</f>
        <v>2</v>
      </c>
      <c r="E6" s="20" cm="1">
        <f t="array" ref="E6">IFERROR(IF(OR(C6="QC",C6="QA"),
SUMPRODUCT((LEFT(QC_DETALLE!A$3:A$223,LEN(A6))=A6)*(QC_DETALLE!B$3:B$223=B6)*QC_DETALLE!I$3:I$223),
SUMPRODUCT((MASTER_ACTIVIDADES!A$3:A$198=A6)*(MASTER_ACTIVIDADES!F$3:F$198=B6)*(UPPER(MASTER_ACTIVIDADES!M$3:M$198)="SI")*(MASTER_ACTIVIDADES!N$3:N$198="Completo")*MASTER_ACTIVIDADES!I$3:I$198)),
0)</f>
        <v>2</v>
      </c>
      <c r="F6" s="23">
        <f t="shared" si="0"/>
        <v>1</v>
      </c>
      <c r="G6" s="21">
        <f>IFERROR(IF(C6="QC",SUMPRODUCT((MASTER_ACTIVIDADES!A$3:A$198=A6)*(MASTER_ACTIVIDADES!F$3:F$198=B6)*(UPPER(MASTER_ACTIVIDADES!M$3:M$198)="SI")*MASTER_ACTIVIDADES!H$3:H$198)/IFERROR(COUNTIFS(MASTER_ACTIVIDADES!A$3:A$198,A6,MASTER_ACTIVIDADES!F$3:F$198,B6,MASTER_ACTIVIDADES!M$3:M$198,"SI"),1),SUMPRODUCT((MASTER_ACTIVIDADES!A$3:A$198=A6)*(MASTER_ACTIVIDADES!F$3:F$198=B6)*(UPPER(MASTER_ACTIVIDADES!M$3:M$198)="SI")*MASTER_ACTIVIDADES!H$3:H$198)/IFERROR(COUNTIFS(MASTER_ACTIVIDADES!A$3:A$198,A6,MASTER_ACTIVIDADES!F$3:F$198,B6,MASTER_ACTIVIDADES!M$3:M$198,"SI"),1)),0)</f>
        <v>10</v>
      </c>
      <c r="H6" s="25">
        <f t="shared" si="1"/>
        <v>10</v>
      </c>
      <c r="I6" s="21">
        <f t="shared" si="2"/>
        <v>0</v>
      </c>
      <c r="J6" s="21" t="str">
        <f t="shared" si="3"/>
        <v>✅ Completo</v>
      </c>
    </row>
    <row r="7" spans="1:10" ht="19.5" customHeight="1" x14ac:dyDescent="0.35">
      <c r="A7" s="20" t="s">
        <v>118</v>
      </c>
      <c r="B7" s="20" t="s">
        <v>81</v>
      </c>
      <c r="C7" s="20" t="s">
        <v>115</v>
      </c>
      <c r="D7" s="20" cm="1">
        <f t="array" ref="D7">IFERROR(IF(C7="QC",SUMPRODUCT((LEFT(QC_DETALLE!A$3:A$1000,LEN(A7))=A7)*(QC_DETALLE!B$3:B$1000=B7)*QC_DETALLE!H$3:H$1000),SUMPRODUCT((MASTER_ACTIVIDADES!A$3:A$198=A7)*(MASTER_ACTIVIDADES!F$3:F$198=B7)*(UPPER(MASTER_ACTIVIDADES!M$3:M$198)="SI")*MASTER_ACTIVIDADES!I$3:I$198)),0)</f>
        <v>28</v>
      </c>
      <c r="E7" s="20" cm="1">
        <f t="array" ref="E7">IFERROR(IF(OR(C7="QC",C7="QA"),
SUMPRODUCT((LEFT(QC_DETALLE!A$3:A$223,LEN(A7))=A7)*(QC_DETALLE!B$3:B$223=B7)*QC_DETALLE!I$3:I$223),
SUMPRODUCT((MASTER_ACTIVIDADES!A$3:A$198=A7)*(MASTER_ACTIVIDADES!F$3:F$198=B7)*(UPPER(MASTER_ACTIVIDADES!M$3:M$198)="SI")*(MASTER_ACTIVIDADES!N$3:N$198="Completo")*MASTER_ACTIVIDADES!I$3:I$198)),
0)</f>
        <v>28</v>
      </c>
      <c r="F7" s="22">
        <f t="shared" si="0"/>
        <v>1</v>
      </c>
      <c r="G7" s="20">
        <f>IFERROR(IF(C7="QC",SUMPRODUCT((MASTER_ACTIVIDADES!A$3:A$198=A7)*(MASTER_ACTIVIDADES!F$3:F$198=B7)*(UPPER(MASTER_ACTIVIDADES!M$3:M$198)="SI")*MASTER_ACTIVIDADES!H$3:H$198)/IFERROR(COUNTIFS(MASTER_ACTIVIDADES!A$3:A$198,A7,MASTER_ACTIVIDADES!F$3:F$198,B7,MASTER_ACTIVIDADES!M$3:M$198,"SI"),1),SUMPRODUCT((MASTER_ACTIVIDADES!A$3:A$198=A7)*(MASTER_ACTIVIDADES!F$3:F$198=B7)*(UPPER(MASTER_ACTIVIDADES!M$3:M$198)="SI")*MASTER_ACTIVIDADES!H$3:H$198)/IFERROR(COUNTIFS(MASTER_ACTIVIDADES!A$3:A$198,A7,MASTER_ACTIVIDADES!F$3:F$198,B7,MASTER_ACTIVIDADES!M$3:M$198,"SI"),1)),0)</f>
        <v>10</v>
      </c>
      <c r="H7" s="83">
        <f t="shared" si="1"/>
        <v>10</v>
      </c>
      <c r="I7" s="20">
        <f t="shared" si="2"/>
        <v>0</v>
      </c>
      <c r="J7" s="20" t="str">
        <f t="shared" si="3"/>
        <v>✅ Completo</v>
      </c>
    </row>
    <row r="8" spans="1:10" ht="19.5" customHeight="1" x14ac:dyDescent="0.35">
      <c r="A8" s="21" t="s">
        <v>121</v>
      </c>
      <c r="B8" s="21" t="s">
        <v>81</v>
      </c>
      <c r="C8" s="21" t="s">
        <v>115</v>
      </c>
      <c r="D8" s="20" cm="1">
        <f t="array" ref="D8">IFERROR(IF(C8="QC",SUMPRODUCT((LEFT(QC_DETALLE!A$3:A$1000,LEN(A8))=A8)*(QC_DETALLE!B$3:B$1000=B8)*QC_DETALLE!H$3:H$1000),SUMPRODUCT((MASTER_ACTIVIDADES!A$3:A$198=A8)*(MASTER_ACTIVIDADES!F$3:F$198=B8)*(UPPER(MASTER_ACTIVIDADES!M$3:M$198)="SI")*MASTER_ACTIVIDADES!I$3:I$198)),0)</f>
        <v>2</v>
      </c>
      <c r="E8" s="20" cm="1">
        <f t="array" ref="E8">IFERROR(IF(OR(C8="QC",C8="QA"),
SUMPRODUCT((LEFT(QC_DETALLE!A$3:A$223,LEN(A8))=A8)*(QC_DETALLE!B$3:B$223=B8)*QC_DETALLE!I$3:I$223),
SUMPRODUCT((MASTER_ACTIVIDADES!A$3:A$198=A8)*(MASTER_ACTIVIDADES!F$3:F$198=B8)*(UPPER(MASTER_ACTIVIDADES!M$3:M$198)="SI")*(MASTER_ACTIVIDADES!N$3:N$198="Completo")*MASTER_ACTIVIDADES!I$3:I$198)),
0)</f>
        <v>2</v>
      </c>
      <c r="F8" s="23">
        <f t="shared" si="0"/>
        <v>1</v>
      </c>
      <c r="G8" s="21">
        <f>IFERROR(IF(C8="QC",SUMPRODUCT((MASTER_ACTIVIDADES!A$3:A$198=A8)*(MASTER_ACTIVIDADES!F$3:F$198=B8)*(UPPER(MASTER_ACTIVIDADES!M$3:M$198)="SI")*MASTER_ACTIVIDADES!H$3:H$198)/IFERROR(COUNTIFS(MASTER_ACTIVIDADES!A$3:A$198,A8,MASTER_ACTIVIDADES!F$3:F$198,B8,MASTER_ACTIVIDADES!M$3:M$198,"SI"),1),SUMPRODUCT((MASTER_ACTIVIDADES!A$3:A$198=A8)*(MASTER_ACTIVIDADES!F$3:F$198=B8)*(UPPER(MASTER_ACTIVIDADES!M$3:M$198)="SI")*MASTER_ACTIVIDADES!H$3:H$198)/IFERROR(COUNTIFS(MASTER_ACTIVIDADES!A$3:A$198,A8,MASTER_ACTIVIDADES!F$3:F$198,B8,MASTER_ACTIVIDADES!M$3:M$198,"SI"),1)),0)</f>
        <v>12</v>
      </c>
      <c r="H8" s="25">
        <f t="shared" si="1"/>
        <v>12</v>
      </c>
      <c r="I8" s="21">
        <f t="shared" si="2"/>
        <v>0</v>
      </c>
      <c r="J8" s="21" t="str">
        <f t="shared" si="3"/>
        <v>✅ Completo</v>
      </c>
    </row>
    <row r="9" spans="1:10" ht="19.5" customHeight="1" x14ac:dyDescent="0.35">
      <c r="A9" s="21" t="s">
        <v>124</v>
      </c>
      <c r="B9" s="21" t="s">
        <v>81</v>
      </c>
      <c r="C9" s="21" t="s">
        <v>115</v>
      </c>
      <c r="D9" s="20" cm="1">
        <f t="array" ref="D9">IFERROR(IF(C9="QC",SUMPRODUCT((LEFT(QC_DETALLE!A$3:A$1000,LEN(A9))=A9)*(QC_DETALLE!B$3:B$1000=B9)*QC_DETALLE!H$3:H$1000),SUMPRODUCT((MASTER_ACTIVIDADES!A$3:A$198=A9)*(MASTER_ACTIVIDADES!F$3:F$198=B9)*(UPPER(MASTER_ACTIVIDADES!M$3:M$198)="SI")*MASTER_ACTIVIDADES!I$3:I$198)),0)</f>
        <v>2</v>
      </c>
      <c r="E9" s="20" cm="1">
        <f t="array" ref="E9">IFERROR(IF(OR(C9="QC",C9="QA"),
SUMPRODUCT((LEFT(QC_DETALLE!A$3:A$223,LEN(A9))=A9)*(QC_DETALLE!B$3:B$223=B9)*QC_DETALLE!I$3:I$223),
SUMPRODUCT((MASTER_ACTIVIDADES!A$3:A$198=A9)*(MASTER_ACTIVIDADES!F$3:F$198=B9)*(UPPER(MASTER_ACTIVIDADES!M$3:M$198)="SI")*(MASTER_ACTIVIDADES!N$3:N$198="Completo")*MASTER_ACTIVIDADES!I$3:I$198)),
0)</f>
        <v>2</v>
      </c>
      <c r="F9" s="23">
        <f t="shared" si="0"/>
        <v>1</v>
      </c>
      <c r="G9" s="21">
        <f>IFERROR(IF(C9="QC",SUMPRODUCT((MASTER_ACTIVIDADES!A$3:A$198=A9)*(MASTER_ACTIVIDADES!F$3:F$198=B9)*(UPPER(MASTER_ACTIVIDADES!M$3:M$198)="SI")*MASTER_ACTIVIDADES!H$3:H$198)/IFERROR(COUNTIFS(MASTER_ACTIVIDADES!A$3:A$198,A9,MASTER_ACTIVIDADES!F$3:F$198,B9,MASTER_ACTIVIDADES!M$3:M$198,"SI"),1),SUMPRODUCT((MASTER_ACTIVIDADES!A$3:A$198=A9)*(MASTER_ACTIVIDADES!F$3:F$198=B9)*(UPPER(MASTER_ACTIVIDADES!M$3:M$198)="SI")*MASTER_ACTIVIDADES!H$3:H$198)/IFERROR(COUNTIFS(MASTER_ACTIVIDADES!A$3:A$198,A9,MASTER_ACTIVIDADES!F$3:F$198,B9,MASTER_ACTIVIDADES!M$3:M$198,"SI"),1)),0)</f>
        <v>12</v>
      </c>
      <c r="H9" s="25">
        <f t="shared" si="1"/>
        <v>12</v>
      </c>
      <c r="I9" s="21">
        <f t="shared" si="2"/>
        <v>0</v>
      </c>
      <c r="J9" s="21" t="str">
        <f t="shared" si="3"/>
        <v>✅ Completo</v>
      </c>
    </row>
    <row r="10" spans="1:10" ht="19.5" customHeight="1" x14ac:dyDescent="0.35">
      <c r="A10" s="21" t="s">
        <v>127</v>
      </c>
      <c r="B10" s="21" t="s">
        <v>81</v>
      </c>
      <c r="C10" s="21" t="s">
        <v>115</v>
      </c>
      <c r="D10" s="20" cm="1">
        <f t="array" ref="D10">IFERROR(IF(C10="QC",SUMPRODUCT((LEFT(QC_DETALLE!A$3:A$1000,LEN(A10))=A10)*(QC_DETALLE!B$3:B$1000=B10)*QC_DETALLE!H$3:H$1000),SUMPRODUCT((MASTER_ACTIVIDADES!A$3:A$198=A10)*(MASTER_ACTIVIDADES!F$3:F$198=B10)*(UPPER(MASTER_ACTIVIDADES!M$3:M$198)="SI")*MASTER_ACTIVIDADES!I$3:I$198)),0)</f>
        <v>2</v>
      </c>
      <c r="E10" s="20" cm="1">
        <f t="array" ref="E10">IFERROR(IF(OR(C10="QC",C10="QA"),
SUMPRODUCT((LEFT(QC_DETALLE!A$3:A$223,LEN(A10))=A10)*(QC_DETALLE!B$3:B$223=B10)*QC_DETALLE!I$3:I$223),
SUMPRODUCT((MASTER_ACTIVIDADES!A$3:A$198=A10)*(MASTER_ACTIVIDADES!F$3:F$198=B10)*(UPPER(MASTER_ACTIVIDADES!M$3:M$198)="SI")*(MASTER_ACTIVIDADES!N$3:N$198="Completo")*MASTER_ACTIVIDADES!I$3:I$198)),
0)</f>
        <v>2</v>
      </c>
      <c r="F10" s="23">
        <f t="shared" si="0"/>
        <v>1</v>
      </c>
      <c r="G10" s="21">
        <f>IFERROR(IF(C10="QC",SUMPRODUCT((MASTER_ACTIVIDADES!A$3:A$198=A10)*(MASTER_ACTIVIDADES!F$3:F$198=B10)*(UPPER(MASTER_ACTIVIDADES!M$3:M$198)="SI")*MASTER_ACTIVIDADES!H$3:H$198)/IFERROR(COUNTIFS(MASTER_ACTIVIDADES!A$3:A$198,A10,MASTER_ACTIVIDADES!F$3:F$198,B10,MASTER_ACTIVIDADES!M$3:M$198,"SI"),1),SUMPRODUCT((MASTER_ACTIVIDADES!A$3:A$198=A10)*(MASTER_ACTIVIDADES!F$3:F$198=B10)*(UPPER(MASTER_ACTIVIDADES!M$3:M$198)="SI")*MASTER_ACTIVIDADES!H$3:H$198)/IFERROR(COUNTIFS(MASTER_ACTIVIDADES!A$3:A$198,A10,MASTER_ACTIVIDADES!F$3:F$198,B10,MASTER_ACTIVIDADES!M$3:M$198,"SI"),1)),0)</f>
        <v>12</v>
      </c>
      <c r="H10" s="25">
        <f t="shared" si="1"/>
        <v>12</v>
      </c>
      <c r="I10" s="21">
        <f t="shared" si="2"/>
        <v>0</v>
      </c>
      <c r="J10" s="21" t="str">
        <f t="shared" si="3"/>
        <v>✅ Completo</v>
      </c>
    </row>
    <row r="11" spans="1:10" ht="19.5" customHeight="1" x14ac:dyDescent="0.35">
      <c r="A11" s="21" t="s">
        <v>77</v>
      </c>
      <c r="B11" s="21" t="s">
        <v>136</v>
      </c>
      <c r="C11" s="21" t="s">
        <v>78</v>
      </c>
      <c r="D11" s="20" cm="1">
        <f t="array" ref="D11">IFERROR(IF(C11="QC",SUMPRODUCT((LEFT(QC_DETALLE!A$3:A$1000,LEN(A11))=A11)*(QC_DETALLE!B$3:B$1000=B11)*QC_DETALLE!H$3:H$1000),SUMPRODUCT((MASTER_ACTIVIDADES!A$3:A$198=A11)*(MASTER_ACTIVIDADES!F$3:F$198=B11)*(UPPER(MASTER_ACTIVIDADES!M$3:M$198)="SI")*MASTER_ACTIVIDADES!I$3:I$198)),0)</f>
        <v>1</v>
      </c>
      <c r="E11" s="20" cm="1">
        <f t="array" ref="E11">IFERROR(IF(OR(C11="QC",C11="QA"),
SUMPRODUCT((LEFT(QC_DETALLE!A$3:A$223,LEN(A11))=A11)*(QC_DETALLE!B$3:B$223=B11)*QC_DETALLE!I$3:I$223),
SUMPRODUCT((MASTER_ACTIVIDADES!A$3:A$198=A11)*(MASTER_ACTIVIDADES!F$3:F$198=B11)*(UPPER(MASTER_ACTIVIDADES!M$3:M$198)="SI")*(MASTER_ACTIVIDADES!N$3:N$198="Completo")*MASTER_ACTIVIDADES!I$3:I$198)),
0)</f>
        <v>1</v>
      </c>
      <c r="F11" s="23">
        <f t="shared" si="0"/>
        <v>1</v>
      </c>
      <c r="G11" s="21">
        <f>IFERROR(IF(C11="QC",SUMPRODUCT((MASTER_ACTIVIDADES!A$3:A$198=A11)*(MASTER_ACTIVIDADES!F$3:F$198=B11)*(UPPER(MASTER_ACTIVIDADES!M$3:M$198)="SI")*MASTER_ACTIVIDADES!H$3:H$198)/IFERROR(COUNTIFS(MASTER_ACTIVIDADES!A$3:A$198,A11,MASTER_ACTIVIDADES!F$3:F$198,B11,MASTER_ACTIVIDADES!M$3:M$198,"SI"),1),SUMPRODUCT((MASTER_ACTIVIDADES!A$3:A$198=A11)*(MASTER_ACTIVIDADES!F$3:F$198=B11)*(UPPER(MASTER_ACTIVIDADES!M$3:M$198)="SI")*MASTER_ACTIVIDADES!H$3:H$198)/IFERROR(COUNTIFS(MASTER_ACTIVIDADES!A$3:A$198,A11,MASTER_ACTIVIDADES!F$3:F$198,B11,MASTER_ACTIVIDADES!M$3:M$198,"SI"),1)),0)</f>
        <v>8</v>
      </c>
      <c r="H11" s="25">
        <f t="shared" si="1"/>
        <v>8</v>
      </c>
      <c r="I11" s="21">
        <f t="shared" si="2"/>
        <v>0</v>
      </c>
      <c r="J11" s="21" t="str">
        <f t="shared" si="3"/>
        <v>✅ Completo</v>
      </c>
    </row>
    <row r="12" spans="1:10" ht="19.5" customHeight="1" x14ac:dyDescent="0.35">
      <c r="A12" s="21" t="s">
        <v>88</v>
      </c>
      <c r="B12" s="21" t="s">
        <v>136</v>
      </c>
      <c r="C12" s="21" t="s">
        <v>78</v>
      </c>
      <c r="D12" s="20" cm="1">
        <f t="array" ref="D12">IFERROR(IF(C12="QC",SUMPRODUCT((LEFT(QC_DETALLE!A$3:A$1000,LEN(A12))=A12)*(QC_DETALLE!B$3:B$1000=B12)*QC_DETALLE!H$3:H$1000),SUMPRODUCT((MASTER_ACTIVIDADES!A$3:A$198=A12)*(MASTER_ACTIVIDADES!F$3:F$198=B12)*(UPPER(MASTER_ACTIVIDADES!M$3:M$198)="SI")*MASTER_ACTIVIDADES!I$3:I$198)),0)</f>
        <v>1</v>
      </c>
      <c r="E12" s="20" cm="1">
        <f t="array" ref="E12">IFERROR(IF(OR(C12="QC",C12="QA"),
SUMPRODUCT((LEFT(QC_DETALLE!A$3:A$223,LEN(A12))=A12)*(QC_DETALLE!B$3:B$223=B12)*QC_DETALLE!I$3:I$223),
SUMPRODUCT((MASTER_ACTIVIDADES!A$3:A$198=A12)*(MASTER_ACTIVIDADES!F$3:F$198=B12)*(UPPER(MASTER_ACTIVIDADES!M$3:M$198)="SI")*(MASTER_ACTIVIDADES!N$3:N$198="Completo")*MASTER_ACTIVIDADES!I$3:I$198)),
0)</f>
        <v>1</v>
      </c>
      <c r="F12" s="23">
        <f t="shared" si="0"/>
        <v>1</v>
      </c>
      <c r="G12" s="21">
        <f>IFERROR(IF(C12="QC",SUMPRODUCT((MASTER_ACTIVIDADES!A$3:A$198=A12)*(MASTER_ACTIVIDADES!F$3:F$198=B12)*(UPPER(MASTER_ACTIVIDADES!M$3:M$198)="SI")*MASTER_ACTIVIDADES!H$3:H$198)/IFERROR(COUNTIFS(MASTER_ACTIVIDADES!A$3:A$198,A12,MASTER_ACTIVIDADES!F$3:F$198,B12,MASTER_ACTIVIDADES!M$3:M$198,"SI"),1),SUMPRODUCT((MASTER_ACTIVIDADES!A$3:A$198=A12)*(MASTER_ACTIVIDADES!F$3:F$198=B12)*(UPPER(MASTER_ACTIVIDADES!M$3:M$198)="SI")*MASTER_ACTIVIDADES!H$3:H$198)/IFERROR(COUNTIFS(MASTER_ACTIVIDADES!A$3:A$198,A12,MASTER_ACTIVIDADES!F$3:F$198,B12,MASTER_ACTIVIDADES!M$3:M$198,"SI"),1)),0)</f>
        <v>8</v>
      </c>
      <c r="H12" s="25">
        <f t="shared" si="1"/>
        <v>8</v>
      </c>
      <c r="I12" s="21">
        <f t="shared" si="2"/>
        <v>0</v>
      </c>
      <c r="J12" s="21" t="str">
        <f t="shared" si="3"/>
        <v>✅ Completo</v>
      </c>
    </row>
    <row r="13" spans="1:10" ht="19.5" customHeight="1" x14ac:dyDescent="0.35">
      <c r="A13" s="21" t="s">
        <v>92</v>
      </c>
      <c r="B13" s="21" t="s">
        <v>136</v>
      </c>
      <c r="C13" s="21" t="s">
        <v>78</v>
      </c>
      <c r="D13" s="20" cm="1">
        <f t="array" ref="D13">IFERROR(IF(C13="QC",SUMPRODUCT((LEFT(QC_DETALLE!A$3:A$1000,LEN(A13))=A13)*(QC_DETALLE!B$3:B$1000=B13)*QC_DETALLE!H$3:H$1000),SUMPRODUCT((MASTER_ACTIVIDADES!A$3:A$198=A13)*(MASTER_ACTIVIDADES!F$3:F$198=B13)*(UPPER(MASTER_ACTIVIDADES!M$3:M$198)="SI")*MASTER_ACTIVIDADES!I$3:I$198)),0)</f>
        <v>1</v>
      </c>
      <c r="E13" s="20" cm="1">
        <f t="array" ref="E13">IFERROR(IF(OR(C13="QC",C13="QA"),
SUMPRODUCT((LEFT(QC_DETALLE!A$3:A$223,LEN(A13))=A13)*(QC_DETALLE!B$3:B$223=B13)*QC_DETALLE!I$3:I$223),
SUMPRODUCT((MASTER_ACTIVIDADES!A$3:A$198=A13)*(MASTER_ACTIVIDADES!F$3:F$198=B13)*(UPPER(MASTER_ACTIVIDADES!M$3:M$198)="SI")*(MASTER_ACTIVIDADES!N$3:N$198="Completo")*MASTER_ACTIVIDADES!I$3:I$198)),
0)</f>
        <v>0</v>
      </c>
      <c r="F13" s="23">
        <f t="shared" si="0"/>
        <v>0</v>
      </c>
      <c r="G13" s="21">
        <f>IFERROR(IF(C13="QC",SUMPRODUCT((MASTER_ACTIVIDADES!A$3:A$198=A13)*(MASTER_ACTIVIDADES!F$3:F$198=B13)*(UPPER(MASTER_ACTIVIDADES!M$3:M$198)="SI")*MASTER_ACTIVIDADES!H$3:H$198)/IFERROR(COUNTIFS(MASTER_ACTIVIDADES!A$3:A$198,A13,MASTER_ACTIVIDADES!F$3:F$198,B13,MASTER_ACTIVIDADES!M$3:M$198,"SI"),1),SUMPRODUCT((MASTER_ACTIVIDADES!A$3:A$198=A13)*(MASTER_ACTIVIDADES!F$3:F$198=B13)*(UPPER(MASTER_ACTIVIDADES!M$3:M$198)="SI")*MASTER_ACTIVIDADES!H$3:H$198)/IFERROR(COUNTIFS(MASTER_ACTIVIDADES!A$3:A$198,A13,MASTER_ACTIVIDADES!F$3:F$198,B13,MASTER_ACTIVIDADES!M$3:M$198,"SI"),1)),0)</f>
        <v>8</v>
      </c>
      <c r="H13" s="25">
        <f t="shared" si="1"/>
        <v>0</v>
      </c>
      <c r="I13" s="21">
        <f t="shared" si="2"/>
        <v>1</v>
      </c>
      <c r="J13" s="21" t="str">
        <f t="shared" si="3"/>
        <v>🔴 Pendiente</v>
      </c>
    </row>
    <row r="14" spans="1:10" ht="19.5" customHeight="1" x14ac:dyDescent="0.35">
      <c r="A14" s="21" t="s">
        <v>95</v>
      </c>
      <c r="B14" s="21" t="s">
        <v>136</v>
      </c>
      <c r="C14" s="21" t="s">
        <v>78</v>
      </c>
      <c r="D14" s="20" cm="1">
        <f t="array" ref="D14">IFERROR(IF(C14="QC",SUMPRODUCT((LEFT(QC_DETALLE!A$3:A$1000,LEN(A14))=A14)*(QC_DETALLE!B$3:B$1000=B14)*QC_DETALLE!H$3:H$1000),SUMPRODUCT((MASTER_ACTIVIDADES!A$3:A$198=A14)*(MASTER_ACTIVIDADES!F$3:F$198=B14)*(UPPER(MASTER_ACTIVIDADES!M$3:M$198)="SI")*MASTER_ACTIVIDADES!I$3:I$198)),0)</f>
        <v>1</v>
      </c>
      <c r="E14" s="20" cm="1">
        <f t="array" ref="E14">IFERROR(IF(OR(C14="QC",C14="QA"),
SUMPRODUCT((LEFT(QC_DETALLE!A$3:A$223,LEN(A14))=A14)*(QC_DETALLE!B$3:B$223=B14)*QC_DETALLE!I$3:I$223),
SUMPRODUCT((MASTER_ACTIVIDADES!A$3:A$198=A14)*(MASTER_ACTIVIDADES!F$3:F$198=B14)*(UPPER(MASTER_ACTIVIDADES!M$3:M$198)="SI")*(MASTER_ACTIVIDADES!N$3:N$198="Completo")*MASTER_ACTIVIDADES!I$3:I$198)),
0)</f>
        <v>0</v>
      </c>
      <c r="F14" s="23">
        <f t="shared" si="0"/>
        <v>0</v>
      </c>
      <c r="G14" s="21">
        <f>IFERROR(IF(C14="QC",SUMPRODUCT((MASTER_ACTIVIDADES!A$3:A$198=A14)*(MASTER_ACTIVIDADES!F$3:F$198=B14)*(UPPER(MASTER_ACTIVIDADES!M$3:M$198)="SI")*MASTER_ACTIVIDADES!H$3:H$198)/IFERROR(COUNTIFS(MASTER_ACTIVIDADES!A$3:A$198,A14,MASTER_ACTIVIDADES!F$3:F$198,B14,MASTER_ACTIVIDADES!M$3:M$198,"SI"),1),SUMPRODUCT((MASTER_ACTIVIDADES!A$3:A$198=A14)*(MASTER_ACTIVIDADES!F$3:F$198=B14)*(UPPER(MASTER_ACTIVIDADES!M$3:M$198)="SI")*MASTER_ACTIVIDADES!H$3:H$198)/IFERROR(COUNTIFS(MASTER_ACTIVIDADES!A$3:A$198,A14,MASTER_ACTIVIDADES!F$3:F$198,B14,MASTER_ACTIVIDADES!M$3:M$198,"SI"),1)),0)</f>
        <v>8</v>
      </c>
      <c r="H14" s="25">
        <f t="shared" si="1"/>
        <v>0</v>
      </c>
      <c r="I14" s="21">
        <f t="shared" si="2"/>
        <v>1</v>
      </c>
      <c r="J14" s="21" t="str">
        <f t="shared" si="3"/>
        <v>🔴 Pendiente</v>
      </c>
    </row>
    <row r="15" spans="1:10" ht="19.5" customHeight="1" x14ac:dyDescent="0.35">
      <c r="A15" s="21" t="s">
        <v>100</v>
      </c>
      <c r="B15" s="21" t="s">
        <v>136</v>
      </c>
      <c r="C15" s="21" t="s">
        <v>78</v>
      </c>
      <c r="D15" s="20" cm="1">
        <f t="array" ref="D15">IFERROR(IF(C15="QC",SUMPRODUCT((LEFT(QC_DETALLE!A$3:A$1000,LEN(A15))=A15)*(QC_DETALLE!B$3:B$1000=B15)*QC_DETALLE!H$3:H$1000),SUMPRODUCT((MASTER_ACTIVIDADES!A$3:A$198=A15)*(MASTER_ACTIVIDADES!F$3:F$198=B15)*(UPPER(MASTER_ACTIVIDADES!M$3:M$198)="SI")*MASTER_ACTIVIDADES!I$3:I$198)),0)</f>
        <v>0</v>
      </c>
      <c r="E15" s="20" cm="1">
        <f t="array" ref="E15">IFERROR(IF(OR(C15="QC",C15="QA"),
SUMPRODUCT((LEFT(QC_DETALLE!A$3:A$223,LEN(A15))=A15)*(QC_DETALLE!B$3:B$223=B15)*QC_DETALLE!I$3:I$223),
SUMPRODUCT((MASTER_ACTIVIDADES!A$3:A$198=A15)*(MASTER_ACTIVIDADES!F$3:F$198=B15)*(UPPER(MASTER_ACTIVIDADES!M$3:M$198)="SI")*(MASTER_ACTIVIDADES!N$3:N$198="Completo")*MASTER_ACTIVIDADES!I$3:I$198)),
0)</f>
        <v>0</v>
      </c>
      <c r="F15" s="23">
        <f t="shared" si="0"/>
        <v>0</v>
      </c>
      <c r="G15" s="21">
        <f>IFERROR(IF(C15="QC",SUMPRODUCT((MASTER_ACTIVIDADES!A$3:A$198=A15)*(MASTER_ACTIVIDADES!F$3:F$198=B15)*(UPPER(MASTER_ACTIVIDADES!M$3:M$198)="SI")*MASTER_ACTIVIDADES!H$3:H$198)/IFERROR(COUNTIFS(MASTER_ACTIVIDADES!A$3:A$198,A15,MASTER_ACTIVIDADES!F$3:F$198,B15,MASTER_ACTIVIDADES!M$3:M$198,"SI"),1),SUMPRODUCT((MASTER_ACTIVIDADES!A$3:A$198=A15)*(MASTER_ACTIVIDADES!F$3:F$198=B15)*(UPPER(MASTER_ACTIVIDADES!M$3:M$198)="SI")*MASTER_ACTIVIDADES!H$3:H$198)/IFERROR(COUNTIFS(MASTER_ACTIVIDADES!A$3:A$198,A15,MASTER_ACTIVIDADES!F$3:F$198,B15,MASTER_ACTIVIDADES!M$3:M$198,"SI"),1)),0)</f>
        <v>8</v>
      </c>
      <c r="H15" s="25">
        <f t="shared" si="1"/>
        <v>0</v>
      </c>
      <c r="I15" s="21">
        <f t="shared" si="2"/>
        <v>0</v>
      </c>
      <c r="J15" s="21" t="str">
        <f t="shared" si="3"/>
        <v>🔴 Pendiente</v>
      </c>
    </row>
    <row r="16" spans="1:10" ht="19.5" customHeight="1" x14ac:dyDescent="0.35">
      <c r="A16" s="21" t="s">
        <v>105</v>
      </c>
      <c r="B16" s="21" t="s">
        <v>136</v>
      </c>
      <c r="C16" s="21" t="s">
        <v>78</v>
      </c>
      <c r="D16" s="20" cm="1">
        <f t="array" ref="D16">IFERROR(IF(C16="QC",SUMPRODUCT((LEFT(QC_DETALLE!A$3:A$1000,LEN(A16))=A16)*(QC_DETALLE!B$3:B$1000=B16)*QC_DETALLE!H$3:H$1000),SUMPRODUCT((MASTER_ACTIVIDADES!A$3:A$198=A16)*(MASTER_ACTIVIDADES!F$3:F$198=B16)*(UPPER(MASTER_ACTIVIDADES!M$3:M$198)="SI")*MASTER_ACTIVIDADES!I$3:I$198)),0)</f>
        <v>3</v>
      </c>
      <c r="E16" s="20" cm="1">
        <f t="array" ref="E16">IFERROR(IF(OR(C16="QC",C16="QA"),
SUMPRODUCT((LEFT(QC_DETALLE!A$3:A$223,LEN(A16))=A16)*(QC_DETALLE!B$3:B$223=B16)*QC_DETALLE!I$3:I$223),
SUMPRODUCT((MASTER_ACTIVIDADES!A$3:A$198=A16)*(MASTER_ACTIVIDADES!F$3:F$198=B16)*(UPPER(MASTER_ACTIVIDADES!M$3:M$198)="SI")*(MASTER_ACTIVIDADES!N$3:N$198="Completo")*MASTER_ACTIVIDADES!I$3:I$198)),
0)</f>
        <v>0</v>
      </c>
      <c r="F16" s="23">
        <f t="shared" si="0"/>
        <v>0</v>
      </c>
      <c r="G16" s="21">
        <f>IFERROR(IF(C16="QC",SUMPRODUCT((MASTER_ACTIVIDADES!A$3:A$198=A16)*(MASTER_ACTIVIDADES!F$3:F$198=B16)*(UPPER(MASTER_ACTIVIDADES!M$3:M$198)="SI")*MASTER_ACTIVIDADES!H$3:H$198)/IFERROR(COUNTIFS(MASTER_ACTIVIDADES!A$3:A$198,A16,MASTER_ACTIVIDADES!F$3:F$198,B16,MASTER_ACTIVIDADES!M$3:M$198,"SI"),1),SUMPRODUCT((MASTER_ACTIVIDADES!A$3:A$198=A16)*(MASTER_ACTIVIDADES!F$3:F$198=B16)*(UPPER(MASTER_ACTIVIDADES!M$3:M$198)="SI")*MASTER_ACTIVIDADES!H$3:H$198)/IFERROR(COUNTIFS(MASTER_ACTIVIDADES!A$3:A$198,A16,MASTER_ACTIVIDADES!F$3:F$198,B16,MASTER_ACTIVIDADES!M$3:M$198,"SI"),1)),0)</f>
        <v>8</v>
      </c>
      <c r="H16" s="25">
        <f t="shared" si="1"/>
        <v>0</v>
      </c>
      <c r="I16" s="21">
        <f t="shared" si="2"/>
        <v>3</v>
      </c>
      <c r="J16" s="21" t="str">
        <f t="shared" si="3"/>
        <v>🔴 Pendiente</v>
      </c>
    </row>
    <row r="17" spans="1:10" ht="19.5" customHeight="1" x14ac:dyDescent="0.35">
      <c r="A17" s="21" t="s">
        <v>114</v>
      </c>
      <c r="B17" s="21" t="s">
        <v>136</v>
      </c>
      <c r="C17" s="21" t="s">
        <v>115</v>
      </c>
      <c r="D17" s="20" cm="1">
        <f t="array" ref="D17">IFERROR(IF(C17="QC",SUMPRODUCT((LEFT(QC_DETALLE!A$3:A$1000,LEN(A17))=A17)*(QC_DETALLE!B$3:B$1000=B17)*QC_DETALLE!H$3:H$1000),SUMPRODUCT((MASTER_ACTIVIDADES!A$3:A$198=A17)*(MASTER_ACTIVIDADES!F$3:F$198=B17)*(UPPER(MASTER_ACTIVIDADES!M$3:M$198)="SI")*MASTER_ACTIVIDADES!I$3:I$198)),0)</f>
        <v>15</v>
      </c>
      <c r="E17" s="20" cm="1">
        <f t="array" ref="E17">IFERROR(IF(OR(C17="QC",C17="QA"),
SUMPRODUCT((LEFT(QC_DETALLE!A$3:A$223,LEN(A17))=A17)*(QC_DETALLE!B$3:B$223=B17)*QC_DETALLE!I$3:I$223),
SUMPRODUCT((MASTER_ACTIVIDADES!A$3:A$198=A17)*(MASTER_ACTIVIDADES!F$3:F$198=B17)*(UPPER(MASTER_ACTIVIDADES!M$3:M$198)="SI")*(MASTER_ACTIVIDADES!N$3:N$198="Completo")*MASTER_ACTIVIDADES!I$3:I$198)),
0)</f>
        <v>0</v>
      </c>
      <c r="F17" s="23">
        <f t="shared" si="0"/>
        <v>0</v>
      </c>
      <c r="G17" s="21">
        <f>IFERROR(IF(C17="QC",SUMPRODUCT((MASTER_ACTIVIDADES!A$3:A$198=A17)*(MASTER_ACTIVIDADES!F$3:F$198=B17)*(UPPER(MASTER_ACTIVIDADES!M$3:M$198)="SI")*MASTER_ACTIVIDADES!H$3:H$198)/IFERROR(COUNTIFS(MASTER_ACTIVIDADES!A$3:A$198,A17,MASTER_ACTIVIDADES!F$3:F$198,B17,MASTER_ACTIVIDADES!M$3:M$198,"SI"),1),SUMPRODUCT((MASTER_ACTIVIDADES!A$3:A$198=A17)*(MASTER_ACTIVIDADES!F$3:F$198=B17)*(UPPER(MASTER_ACTIVIDADES!M$3:M$198)="SI")*MASTER_ACTIVIDADES!H$3:H$198)/IFERROR(COUNTIFS(MASTER_ACTIVIDADES!A$3:A$198,A17,MASTER_ACTIVIDADES!F$3:F$198,B17,MASTER_ACTIVIDADES!M$3:M$198,"SI"),1)),0)</f>
        <v>8</v>
      </c>
      <c r="H17" s="25">
        <f t="shared" si="1"/>
        <v>0</v>
      </c>
      <c r="I17" s="21">
        <f t="shared" si="2"/>
        <v>15</v>
      </c>
      <c r="J17" s="21" t="str">
        <f t="shared" si="3"/>
        <v>🔴 Pendiente</v>
      </c>
    </row>
    <row r="18" spans="1:10" ht="19.5" customHeight="1" x14ac:dyDescent="0.35">
      <c r="A18" s="21" t="s">
        <v>118</v>
      </c>
      <c r="B18" s="21" t="s">
        <v>136</v>
      </c>
      <c r="C18" s="21" t="s">
        <v>115</v>
      </c>
      <c r="D18" s="20" cm="1">
        <f t="array" ref="D18">IFERROR(IF(C18="QC",SUMPRODUCT((LEFT(QC_DETALLE!A$3:A$1000,LEN(A18))=A18)*(QC_DETALLE!B$3:B$1000=B18)*QC_DETALLE!H$3:H$1000),SUMPRODUCT((MASTER_ACTIVIDADES!A$3:A$198=A18)*(MASTER_ACTIVIDADES!F$3:F$198=B18)*(UPPER(MASTER_ACTIVIDADES!M$3:M$198)="SI")*MASTER_ACTIVIDADES!I$3:I$198)),0)</f>
        <v>40</v>
      </c>
      <c r="E18" s="20" cm="1">
        <f t="array" ref="E18">IFERROR(IF(OR(C18="QC",C18="QA"),
SUMPRODUCT((LEFT(QC_DETALLE!A$3:A$223,LEN(A18))=A18)*(QC_DETALLE!B$3:B$223=B18)*QC_DETALLE!I$3:I$223),
SUMPRODUCT((MASTER_ACTIVIDADES!A$3:A$198=A18)*(MASTER_ACTIVIDADES!F$3:F$198=B18)*(UPPER(MASTER_ACTIVIDADES!M$3:M$198)="SI")*(MASTER_ACTIVIDADES!N$3:N$198="Completo")*MASTER_ACTIVIDADES!I$3:I$198)),
0)</f>
        <v>0</v>
      </c>
      <c r="F18" s="23">
        <f t="shared" si="0"/>
        <v>0</v>
      </c>
      <c r="G18" s="21">
        <f>IFERROR(IF(C18="QC",SUMPRODUCT((MASTER_ACTIVIDADES!A$3:A$198=A18)*(MASTER_ACTIVIDADES!F$3:F$198=B18)*(UPPER(MASTER_ACTIVIDADES!M$3:M$198)="SI")*MASTER_ACTIVIDADES!H$3:H$198)/IFERROR(COUNTIFS(MASTER_ACTIVIDADES!A$3:A$198,A18,MASTER_ACTIVIDADES!F$3:F$198,B18,MASTER_ACTIVIDADES!M$3:M$198,"SI"),1),SUMPRODUCT((MASTER_ACTIVIDADES!A$3:A$198=A18)*(MASTER_ACTIVIDADES!F$3:F$198=B18)*(UPPER(MASTER_ACTIVIDADES!M$3:M$198)="SI")*MASTER_ACTIVIDADES!H$3:H$198)/IFERROR(COUNTIFS(MASTER_ACTIVIDADES!A$3:A$198,A18,MASTER_ACTIVIDADES!F$3:F$198,B18,MASTER_ACTIVIDADES!M$3:M$198,"SI"),1)),0)</f>
        <v>7</v>
      </c>
      <c r="H18" s="25">
        <f t="shared" si="1"/>
        <v>0</v>
      </c>
      <c r="I18" s="21">
        <f t="shared" si="2"/>
        <v>40</v>
      </c>
      <c r="J18" s="21" t="str">
        <f t="shared" si="3"/>
        <v>🔴 Pendiente</v>
      </c>
    </row>
    <row r="19" spans="1:10" ht="19.5" customHeight="1" x14ac:dyDescent="0.35">
      <c r="A19" s="21" t="s">
        <v>121</v>
      </c>
      <c r="B19" s="21" t="s">
        <v>136</v>
      </c>
      <c r="C19" s="21" t="s">
        <v>115</v>
      </c>
      <c r="D19" s="20" cm="1">
        <f t="array" ref="D19">IFERROR(IF(C19="QC",SUMPRODUCT((LEFT(QC_DETALLE!A$3:A$1000,LEN(A19))=A19)*(QC_DETALLE!B$3:B$1000=B19)*QC_DETALLE!H$3:H$1000),SUMPRODUCT((MASTER_ACTIVIDADES!A$3:A$198=A19)*(MASTER_ACTIVIDADES!F$3:F$198=B19)*(UPPER(MASTER_ACTIVIDADES!M$3:M$198)="SI")*MASTER_ACTIVIDADES!I$3:I$198)),0)</f>
        <v>7</v>
      </c>
      <c r="E19" s="20" cm="1">
        <f t="array" ref="E19">IFERROR(IF(OR(C19="QC",C19="QA"),
SUMPRODUCT((LEFT(QC_DETALLE!A$3:A$223,LEN(A19))=A19)*(QC_DETALLE!B$3:B$223=B19)*QC_DETALLE!I$3:I$223),
SUMPRODUCT((MASTER_ACTIVIDADES!A$3:A$198=A19)*(MASTER_ACTIVIDADES!F$3:F$198=B19)*(UPPER(MASTER_ACTIVIDADES!M$3:M$198)="SI")*(MASTER_ACTIVIDADES!N$3:N$198="Completo")*MASTER_ACTIVIDADES!I$3:I$198)),
0)</f>
        <v>1</v>
      </c>
      <c r="F19" s="23">
        <f t="shared" si="0"/>
        <v>0.14285714285714285</v>
      </c>
      <c r="G19" s="21">
        <f>IFERROR(IF(C19="QC",SUMPRODUCT((MASTER_ACTIVIDADES!A$3:A$198=A19)*(MASTER_ACTIVIDADES!F$3:F$198=B19)*(UPPER(MASTER_ACTIVIDADES!M$3:M$198)="SI")*MASTER_ACTIVIDADES!H$3:H$198)/IFERROR(COUNTIFS(MASTER_ACTIVIDADES!A$3:A$198,A19,MASTER_ACTIVIDADES!F$3:F$198,B19,MASTER_ACTIVIDADES!M$3:M$198,"SI"),1),SUMPRODUCT((MASTER_ACTIVIDADES!A$3:A$198=A19)*(MASTER_ACTIVIDADES!F$3:F$198=B19)*(UPPER(MASTER_ACTIVIDADES!M$3:M$198)="SI")*MASTER_ACTIVIDADES!H$3:H$198)/IFERROR(COUNTIFS(MASTER_ACTIVIDADES!A$3:A$198,A19,MASTER_ACTIVIDADES!F$3:F$198,B19,MASTER_ACTIVIDADES!M$3:M$198,"SI"),1)),0)</f>
        <v>7</v>
      </c>
      <c r="H19" s="25">
        <f t="shared" si="1"/>
        <v>1</v>
      </c>
      <c r="I19" s="21">
        <f t="shared" si="2"/>
        <v>6</v>
      </c>
      <c r="J19" s="21" t="str">
        <f t="shared" si="3"/>
        <v>🔴 Pendiente</v>
      </c>
    </row>
    <row r="20" spans="1:10" ht="19.5" customHeight="1" x14ac:dyDescent="0.35">
      <c r="A20" s="21" t="s">
        <v>124</v>
      </c>
      <c r="B20" s="21" t="s">
        <v>136</v>
      </c>
      <c r="C20" s="21" t="s">
        <v>115</v>
      </c>
      <c r="D20" s="20" cm="1">
        <f t="array" ref="D20">IFERROR(IF(C20="QC",SUMPRODUCT((LEFT(QC_DETALLE!A$3:A$1000,LEN(A20))=A20)*(QC_DETALLE!B$3:B$1000=B20)*QC_DETALLE!H$3:H$1000),SUMPRODUCT((MASTER_ACTIVIDADES!A$3:A$198=A20)*(MASTER_ACTIVIDADES!F$3:F$198=B20)*(UPPER(MASTER_ACTIVIDADES!M$3:M$198)="SI")*MASTER_ACTIVIDADES!I$3:I$198)),0)</f>
        <v>7</v>
      </c>
      <c r="E20" s="20" cm="1">
        <f t="array" ref="E20">IFERROR(IF(OR(C20="QC",C20="QA"),
SUMPRODUCT((LEFT(QC_DETALLE!A$3:A$223,LEN(A20))=A20)*(QC_DETALLE!B$3:B$223=B20)*QC_DETALLE!I$3:I$223),
SUMPRODUCT((MASTER_ACTIVIDADES!A$3:A$198=A20)*(MASTER_ACTIVIDADES!F$3:F$198=B20)*(UPPER(MASTER_ACTIVIDADES!M$3:M$198)="SI")*(MASTER_ACTIVIDADES!N$3:N$198="Completo")*MASTER_ACTIVIDADES!I$3:I$198)),
0)</f>
        <v>0</v>
      </c>
      <c r="F20" s="23">
        <f t="shared" si="0"/>
        <v>0</v>
      </c>
      <c r="G20" s="21">
        <f>IFERROR(IF(C20="QC",SUMPRODUCT((MASTER_ACTIVIDADES!A$3:A$198=A20)*(MASTER_ACTIVIDADES!F$3:F$198=B20)*(UPPER(MASTER_ACTIVIDADES!M$3:M$198)="SI")*MASTER_ACTIVIDADES!H$3:H$198)/IFERROR(COUNTIFS(MASTER_ACTIVIDADES!A$3:A$198,A20,MASTER_ACTIVIDADES!F$3:F$198,B20,MASTER_ACTIVIDADES!M$3:M$198,"SI"),1),SUMPRODUCT((MASTER_ACTIVIDADES!A$3:A$198=A20)*(MASTER_ACTIVIDADES!F$3:F$198=B20)*(UPPER(MASTER_ACTIVIDADES!M$3:M$198)="SI")*MASTER_ACTIVIDADES!H$3:H$198)/IFERROR(COUNTIFS(MASTER_ACTIVIDADES!A$3:A$198,A20,MASTER_ACTIVIDADES!F$3:F$198,B20,MASTER_ACTIVIDADES!M$3:M$198,"SI"),1)),0)</f>
        <v>7</v>
      </c>
      <c r="H20" s="25">
        <f t="shared" si="1"/>
        <v>0</v>
      </c>
      <c r="I20" s="21">
        <f t="shared" si="2"/>
        <v>7</v>
      </c>
      <c r="J20" s="21" t="str">
        <f t="shared" si="3"/>
        <v>🔴 Pendiente</v>
      </c>
    </row>
    <row r="21" spans="1:10" ht="19.5" customHeight="1" x14ac:dyDescent="0.35">
      <c r="A21" s="21" t="s">
        <v>127</v>
      </c>
      <c r="B21" s="21" t="s">
        <v>136</v>
      </c>
      <c r="C21" s="21" t="s">
        <v>115</v>
      </c>
      <c r="D21" s="20" cm="1">
        <f t="array" ref="D21">IFERROR(IF(C21="QC",SUMPRODUCT((LEFT(QC_DETALLE!A$3:A$1000,LEN(A21))=A21)*(QC_DETALLE!B$3:B$1000=B21)*QC_DETALLE!H$3:H$1000),SUMPRODUCT((MASTER_ACTIVIDADES!A$3:A$198=A21)*(MASTER_ACTIVIDADES!F$3:F$198=B21)*(UPPER(MASTER_ACTIVIDADES!M$3:M$198)="SI")*MASTER_ACTIVIDADES!I$3:I$198)),0)</f>
        <v>22</v>
      </c>
      <c r="E21" s="20" cm="1">
        <f t="array" ref="E21">IFERROR(IF(OR(C21="QC",C21="QA"),
SUMPRODUCT((LEFT(QC_DETALLE!A$3:A$223,LEN(A21))=A21)*(QC_DETALLE!B$3:B$223=B21)*QC_DETALLE!I$3:I$223),
SUMPRODUCT((MASTER_ACTIVIDADES!A$3:A$198=A21)*(MASTER_ACTIVIDADES!F$3:F$198=B21)*(UPPER(MASTER_ACTIVIDADES!M$3:M$198)="SI")*(MASTER_ACTIVIDADES!N$3:N$198="Completo")*MASTER_ACTIVIDADES!I$3:I$198)),
0)</f>
        <v>0</v>
      </c>
      <c r="F21" s="23">
        <f t="shared" si="0"/>
        <v>0</v>
      </c>
      <c r="G21" s="21">
        <f>IFERROR(IF(C21="QC",SUMPRODUCT((MASTER_ACTIVIDADES!A$3:A$198=A21)*(MASTER_ACTIVIDADES!F$3:F$198=B21)*(UPPER(MASTER_ACTIVIDADES!M$3:M$198)="SI")*MASTER_ACTIVIDADES!H$3:H$198)/IFERROR(COUNTIFS(MASTER_ACTIVIDADES!A$3:A$198,A21,MASTER_ACTIVIDADES!F$3:F$198,B21,MASTER_ACTIVIDADES!M$3:M$198,"SI"),1),SUMPRODUCT((MASTER_ACTIVIDADES!A$3:A$198=A21)*(MASTER_ACTIVIDADES!F$3:F$198=B21)*(UPPER(MASTER_ACTIVIDADES!M$3:M$198)="SI")*MASTER_ACTIVIDADES!H$3:H$198)/IFERROR(COUNTIFS(MASTER_ACTIVIDADES!A$3:A$198,A21,MASTER_ACTIVIDADES!F$3:F$198,B21,MASTER_ACTIVIDADES!M$3:M$198,"SI"),1)),0)</f>
        <v>7</v>
      </c>
      <c r="H21" s="25">
        <f t="shared" si="1"/>
        <v>0</v>
      </c>
      <c r="I21" s="21">
        <f t="shared" si="2"/>
        <v>22</v>
      </c>
      <c r="J21" s="21" t="str">
        <f t="shared" si="3"/>
        <v>🔴 Pendiente</v>
      </c>
    </row>
    <row r="22" spans="1:10" ht="19.5" customHeight="1" x14ac:dyDescent="0.35">
      <c r="A22" s="21" t="s">
        <v>134</v>
      </c>
      <c r="B22" s="21" t="s">
        <v>136</v>
      </c>
      <c r="C22" s="21" t="s">
        <v>115</v>
      </c>
      <c r="D22" s="20" cm="1">
        <f t="array" ref="D22">IFERROR(IF(C22="QC",SUMPRODUCT((LEFT(QC_DETALLE!A$3:A$1000,LEN(A22))=A22)*(QC_DETALLE!B$3:B$1000=B22)*QC_DETALLE!H$3:H$1000),SUMPRODUCT((MASTER_ACTIVIDADES!A$3:A$198=A22)*(MASTER_ACTIVIDADES!F$3:F$198=B22)*(UPPER(MASTER_ACTIVIDADES!M$3:M$198)="SI")*MASTER_ACTIVIDADES!I$3:I$198)),0)</f>
        <v>19</v>
      </c>
      <c r="E22" s="20" cm="1">
        <f t="array" ref="E22">IFERROR(IF(OR(C22="QC",C22="QA"),
SUMPRODUCT((LEFT(QC_DETALLE!A$3:A$223,LEN(A22))=A22)*(QC_DETALLE!B$3:B$223=B22)*QC_DETALLE!I$3:I$223),
SUMPRODUCT((MASTER_ACTIVIDADES!A$3:A$198=A22)*(MASTER_ACTIVIDADES!F$3:F$198=B22)*(UPPER(MASTER_ACTIVIDADES!M$3:M$198)="SI")*(MASTER_ACTIVIDADES!N$3:N$198="Completo")*MASTER_ACTIVIDADES!I$3:I$198)),
0)</f>
        <v>1</v>
      </c>
      <c r="F22" s="23">
        <f t="shared" si="0"/>
        <v>5.2631578947368418E-2</v>
      </c>
      <c r="G22" s="21">
        <f>IFERROR(IF(C22="QC",SUMPRODUCT((MASTER_ACTIVIDADES!A$3:A$198=A22)*(MASTER_ACTIVIDADES!F$3:F$198=B22)*(UPPER(MASTER_ACTIVIDADES!M$3:M$198)="SI")*MASTER_ACTIVIDADES!H$3:H$198)/IFERROR(COUNTIFS(MASTER_ACTIVIDADES!A$3:A$198,A22,MASTER_ACTIVIDADES!F$3:F$198,B22,MASTER_ACTIVIDADES!M$3:M$198,"SI"),1),SUMPRODUCT((MASTER_ACTIVIDADES!A$3:A$198=A22)*(MASTER_ACTIVIDADES!F$3:F$198=B22)*(UPPER(MASTER_ACTIVIDADES!M$3:M$198)="SI")*MASTER_ACTIVIDADES!H$3:H$198)/IFERROR(COUNTIFS(MASTER_ACTIVIDADES!A$3:A$198,A22,MASTER_ACTIVIDADES!F$3:F$198,B22,MASTER_ACTIVIDADES!M$3:M$198,"SI"),1)),0)</f>
        <v>4</v>
      </c>
      <c r="H22" s="25">
        <f t="shared" si="1"/>
        <v>0.21052631578947367</v>
      </c>
      <c r="I22" s="21">
        <f t="shared" si="2"/>
        <v>18</v>
      </c>
      <c r="J22" s="21" t="str">
        <f t="shared" si="3"/>
        <v>🔴 Pendiente</v>
      </c>
    </row>
    <row r="23" spans="1:10" ht="19.5" customHeight="1" x14ac:dyDescent="0.35">
      <c r="A23" s="21" t="s">
        <v>114</v>
      </c>
      <c r="B23" s="21" t="s">
        <v>163</v>
      </c>
      <c r="C23" s="21" t="s">
        <v>115</v>
      </c>
      <c r="D23" s="20" cm="1">
        <f t="array" ref="D23">IFERROR(IF(C23="QC",SUMPRODUCT((LEFT(QC_DETALLE!A$3:A$1000,LEN(A23))=A23)*(QC_DETALLE!B$3:B$1000=B23)*QC_DETALLE!H$3:H$1000),SUMPRODUCT((MASTER_ACTIVIDADES!A$3:A$198=A23)*(MASTER_ACTIVIDADES!F$3:F$198=B23)*(UPPER(MASTER_ACTIVIDADES!M$3:M$198)="SI")*MASTER_ACTIVIDADES!I$3:I$198)),0)</f>
        <v>31</v>
      </c>
      <c r="E23" s="20" cm="1">
        <f t="array" ref="E23">IFERROR(IF(OR(C23="QC",C23="QA"),
SUMPRODUCT((LEFT(QC_DETALLE!A$3:A$223,LEN(A23))=A23)*(QC_DETALLE!B$3:B$223=B23)*QC_DETALLE!I$3:I$223),
SUMPRODUCT((MASTER_ACTIVIDADES!A$3:A$198=A23)*(MASTER_ACTIVIDADES!F$3:F$198=B23)*(UPPER(MASTER_ACTIVIDADES!M$3:M$198)="SI")*(MASTER_ACTIVIDADES!N$3:N$198="Completo")*MASTER_ACTIVIDADES!I$3:I$198)),
0)</f>
        <v>0</v>
      </c>
      <c r="F23" s="23">
        <f t="shared" si="0"/>
        <v>0</v>
      </c>
      <c r="G23" s="21">
        <f>IFERROR(IF(C23="QC",SUMPRODUCT((MASTER_ACTIVIDADES!A$3:A$198=A23)*(MASTER_ACTIVIDADES!F$3:F$198=B23)*(UPPER(MASTER_ACTIVIDADES!M$3:M$198)="SI")*MASTER_ACTIVIDADES!H$3:H$198)/IFERROR(COUNTIFS(MASTER_ACTIVIDADES!A$3:A$198,A23,MASTER_ACTIVIDADES!F$3:F$198,B23,MASTER_ACTIVIDADES!M$3:M$198,"SI"),1),SUMPRODUCT((MASTER_ACTIVIDADES!A$3:A$198=A23)*(MASTER_ACTIVIDADES!F$3:F$198=B23)*(UPPER(MASTER_ACTIVIDADES!M$3:M$198)="SI")*MASTER_ACTIVIDADES!H$3:H$198)/IFERROR(COUNTIFS(MASTER_ACTIVIDADES!A$3:A$198,A23,MASTER_ACTIVIDADES!F$3:F$198,B23,MASTER_ACTIVIDADES!M$3:M$198,"SI"),1)),0)</f>
        <v>0.03</v>
      </c>
      <c r="H23" s="25">
        <f t="shared" si="1"/>
        <v>0</v>
      </c>
      <c r="I23" s="21">
        <f t="shared" si="2"/>
        <v>31</v>
      </c>
      <c r="J23" s="21" t="str">
        <f t="shared" si="3"/>
        <v>🔴 Pendiente</v>
      </c>
    </row>
    <row r="24" spans="1:10" ht="19.5" customHeight="1" x14ac:dyDescent="0.35">
      <c r="A24" s="21" t="s">
        <v>118</v>
      </c>
      <c r="B24" s="21" t="s">
        <v>163</v>
      </c>
      <c r="C24" s="21" t="s">
        <v>115</v>
      </c>
      <c r="D24" s="20" cm="1">
        <f t="array" ref="D24">IFERROR(IF(C24="QC",SUMPRODUCT((LEFT(QC_DETALLE!A$3:A$1000,LEN(A24))=A24)*(QC_DETALLE!B$3:B$1000=B24)*QC_DETALLE!H$3:H$1000),SUMPRODUCT((MASTER_ACTIVIDADES!A$3:A$198=A24)*(MASTER_ACTIVIDADES!F$3:F$198=B24)*(UPPER(MASTER_ACTIVIDADES!M$3:M$198)="SI")*MASTER_ACTIVIDADES!I$3:I$198)),0)</f>
        <v>498</v>
      </c>
      <c r="E24" s="20" cm="1">
        <f t="array" ref="E24">IFERROR(IF(OR(C24="QC",C24="QA"),
SUMPRODUCT((LEFT(QC_DETALLE!A$3:A$223,LEN(A24))=A24)*(QC_DETALLE!B$3:B$223=B24)*QC_DETALLE!I$3:I$223),
SUMPRODUCT((MASTER_ACTIVIDADES!A$3:A$198=A24)*(MASTER_ACTIVIDADES!F$3:F$198=B24)*(UPPER(MASTER_ACTIVIDADES!M$3:M$198)="SI")*(MASTER_ACTIVIDADES!N$3:N$198="Completo")*MASTER_ACTIVIDADES!I$3:I$198)),
0)</f>
        <v>0</v>
      </c>
      <c r="F24" s="23">
        <f t="shared" si="0"/>
        <v>0</v>
      </c>
      <c r="G24" s="21">
        <f>IFERROR(IF(C24="QC",SUMPRODUCT((MASTER_ACTIVIDADES!A$3:A$198=A24)*(MASTER_ACTIVIDADES!F$3:F$198=B24)*(UPPER(MASTER_ACTIVIDADES!M$3:M$198)="SI")*MASTER_ACTIVIDADES!H$3:H$198)/IFERROR(COUNTIFS(MASTER_ACTIVIDADES!A$3:A$198,A24,MASTER_ACTIVIDADES!F$3:F$198,B24,MASTER_ACTIVIDADES!M$3:M$198,"SI"),1),SUMPRODUCT((MASTER_ACTIVIDADES!A$3:A$198=A24)*(MASTER_ACTIVIDADES!F$3:F$198=B24)*(UPPER(MASTER_ACTIVIDADES!M$3:M$198)="SI")*MASTER_ACTIVIDADES!H$3:H$198)/IFERROR(COUNTIFS(MASTER_ACTIVIDADES!A$3:A$198,A24,MASTER_ACTIVIDADES!F$3:F$198,B24,MASTER_ACTIVIDADES!M$3:M$198,"SI"),1)),0)</f>
        <v>0.03</v>
      </c>
      <c r="H24" s="25">
        <f t="shared" si="1"/>
        <v>0</v>
      </c>
      <c r="I24" s="21">
        <f t="shared" si="2"/>
        <v>498</v>
      </c>
      <c r="J24" s="21" t="str">
        <f t="shared" si="3"/>
        <v>🔴 Pendiente</v>
      </c>
    </row>
    <row r="25" spans="1:10" ht="19.5" customHeight="1" x14ac:dyDescent="0.35">
      <c r="A25" s="21"/>
      <c r="B25" s="21"/>
      <c r="C25" s="21"/>
      <c r="D25" s="20" cm="1">
        <f t="array" ref="D25">IFERROR(IF(C25="QC",SUMPRODUCT((LEFT(QC_DETALLE!A$3:A$1000,LEN(A25))=A25)*(QC_DETALLE!B$3:B$1000=B25)*QC_DETALLE!H$3:H$1000),SUMPRODUCT((MASTER_ACTIVIDADES!A$3:A$198=A25)*(MASTER_ACTIVIDADES!F$3:F$198=B25)*(UPPER(MASTER_ACTIVIDADES!M$3:M$198)="SI")*MASTER_ACTIVIDADES!I$3:I$198)),0)</f>
        <v>0</v>
      </c>
      <c r="E25" s="20" cm="1">
        <f t="array" ref="E25">IFERROR(IF(OR(C25="QC",C25="QA"),
SUMPRODUCT((LEFT(QC_DETALLE!A$3:A$223,LEN(A25))=A25)*(QC_DETALLE!B$3:B$223=B25)*QC_DETALLE!I$3:I$223),
SUMPRODUCT((MASTER_ACTIVIDADES!A$3:A$198=A25)*(MASTER_ACTIVIDADES!F$3:F$198=B25)*(UPPER(MASTER_ACTIVIDADES!M$3:M$198)="SI")*(MASTER_ACTIVIDADES!N$3:N$198="Completo")*MASTER_ACTIVIDADES!I$3:I$198)),
0)</f>
        <v>0</v>
      </c>
      <c r="F25" s="23">
        <f t="shared" si="0"/>
        <v>0</v>
      </c>
      <c r="G25" s="21">
        <f>IFERROR(IF(C25="QC",SUMPRODUCT((MASTER_ACTIVIDADES!A$3:A$198=A25)*(MASTER_ACTIVIDADES!F$3:F$198=B25)*(UPPER(MASTER_ACTIVIDADES!M$3:M$198)="SI")*MASTER_ACTIVIDADES!H$3:H$198)/IFERROR(COUNTIFS(MASTER_ACTIVIDADES!A$3:A$198,A25,MASTER_ACTIVIDADES!F$3:F$198,B25,MASTER_ACTIVIDADES!M$3:M$198,"SI"),1),SUMPRODUCT((MASTER_ACTIVIDADES!A$3:A$198=A25)*(MASTER_ACTIVIDADES!F$3:F$198=B25)*(UPPER(MASTER_ACTIVIDADES!M$3:M$198)="SI")*MASTER_ACTIVIDADES!H$3:H$198)/IFERROR(COUNTIFS(MASTER_ACTIVIDADES!A$3:A$198,A25,MASTER_ACTIVIDADES!F$3:F$198,B25,MASTER_ACTIVIDADES!M$3:M$198,"SI"),1)),0)</f>
        <v>0</v>
      </c>
      <c r="H25" s="25">
        <f t="shared" si="1"/>
        <v>0</v>
      </c>
      <c r="I25" s="21">
        <f t="shared" si="2"/>
        <v>0</v>
      </c>
      <c r="J25" s="21" t="str">
        <f t="shared" si="3"/>
        <v>🔴 Pendiente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  <headerFooter>
    <oddFooter>&amp;C_x000D_&amp;1#&amp;"Aptos"&amp;11&amp;K000000 BV_C2_Internal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527A0"/>
  </sheetPr>
  <dimension ref="A1:I11"/>
  <sheetViews>
    <sheetView showGridLines="0" zoomScale="80" zoomScaleNormal="80" workbookViewId="0">
      <pane ySplit="2" topLeftCell="A3" activePane="bottomLeft" state="frozen"/>
      <selection pane="bottomLeft" activeCell="F4" sqref="F4"/>
    </sheetView>
  </sheetViews>
  <sheetFormatPr baseColWidth="10" defaultColWidth="8.54296875" defaultRowHeight="14.5" x14ac:dyDescent="0.35"/>
  <cols>
    <col min="1" max="1" width="10" customWidth="1"/>
    <col min="2" max="2" width="14" customWidth="1"/>
    <col min="3" max="3" width="10" customWidth="1"/>
    <col min="4" max="4" width="54.1796875" customWidth="1"/>
    <col min="5" max="6" width="16" customWidth="1"/>
    <col min="7" max="8" width="14" customWidth="1"/>
    <col min="9" max="9" width="16" customWidth="1"/>
  </cols>
  <sheetData>
    <row r="1" spans="1:9" ht="30" customHeight="1" x14ac:dyDescent="0.35">
      <c r="A1" s="96" t="s">
        <v>1199</v>
      </c>
      <c r="B1" s="97"/>
      <c r="C1" s="97"/>
      <c r="D1" s="97"/>
      <c r="E1" s="97"/>
      <c r="F1" s="97"/>
      <c r="G1" s="97"/>
      <c r="H1" s="97"/>
      <c r="I1" s="97"/>
    </row>
    <row r="2" spans="1:9" ht="30" customHeight="1" x14ac:dyDescent="0.35">
      <c r="A2" s="19" t="s">
        <v>66</v>
      </c>
      <c r="B2" s="19" t="s">
        <v>1200</v>
      </c>
      <c r="C2" s="19" t="s">
        <v>42</v>
      </c>
      <c r="D2" s="19" t="s">
        <v>13</v>
      </c>
      <c r="E2" s="19" t="s">
        <v>1201</v>
      </c>
      <c r="F2" s="19" t="s">
        <v>1202</v>
      </c>
      <c r="G2" s="19" t="s">
        <v>1203</v>
      </c>
      <c r="H2" s="19" t="s">
        <v>46</v>
      </c>
      <c r="I2" s="19" t="s">
        <v>19</v>
      </c>
    </row>
    <row r="3" spans="1:9" ht="19.5" customHeight="1" x14ac:dyDescent="0.35">
      <c r="A3" s="20" t="s">
        <v>114</v>
      </c>
      <c r="B3" s="26">
        <v>46184</v>
      </c>
      <c r="C3" s="20" t="str">
        <f>"S"&amp;WEEKNUM(PLAN_SEMANAL[[#This Row],[FECHA]])</f>
        <v>S24</v>
      </c>
      <c r="D3" s="20" t="s">
        <v>81</v>
      </c>
      <c r="E3" s="20">
        <v>1</v>
      </c>
      <c r="F3" s="20">
        <v>1</v>
      </c>
      <c r="G3" s="20">
        <f t="shared" ref="G3:G11" si="0">E3-F3</f>
        <v>0</v>
      </c>
      <c r="H3" s="22">
        <f t="shared" ref="H3:H11" si="1">IFERROR(F3/E3,0)</f>
        <v>1</v>
      </c>
      <c r="I3" s="20" t="str">
        <f t="shared" ref="I3:I11" si="2">IF(H3&gt;=1,"✅ Cumplido",IF(H3&gt;=0.7,"⚠️ Parcial","🔴 Crítico"))</f>
        <v>✅ Cumplido</v>
      </c>
    </row>
    <row r="4" spans="1:9" ht="19.5" customHeight="1" x14ac:dyDescent="0.35">
      <c r="A4" s="21" t="s">
        <v>92</v>
      </c>
      <c r="B4" s="27">
        <v>46178</v>
      </c>
      <c r="C4" s="20" t="str">
        <f>"S"&amp;WEEKNUM(PLAN_SEMANAL[[#This Row],[FECHA]])</f>
        <v>S23</v>
      </c>
      <c r="D4" s="21" t="s">
        <v>136</v>
      </c>
      <c r="E4" s="21">
        <v>1</v>
      </c>
      <c r="F4" s="21">
        <v>0</v>
      </c>
      <c r="G4" s="21">
        <f t="shared" si="0"/>
        <v>1</v>
      </c>
      <c r="H4" s="23">
        <f t="shared" si="1"/>
        <v>0</v>
      </c>
      <c r="I4" s="21" t="str">
        <f t="shared" si="2"/>
        <v>🔴 Crítico</v>
      </c>
    </row>
    <row r="5" spans="1:9" ht="19.5" customHeight="1" x14ac:dyDescent="0.35">
      <c r="A5" s="20" t="s">
        <v>118</v>
      </c>
      <c r="B5" s="26">
        <v>46178</v>
      </c>
      <c r="C5" s="20" t="str">
        <f>"S"&amp;WEEKNUM(PLAN_SEMANAL[[#This Row],[FECHA]])</f>
        <v>S23</v>
      </c>
      <c r="D5" s="20" t="s">
        <v>136</v>
      </c>
      <c r="E5" s="20">
        <v>1</v>
      </c>
      <c r="F5" s="20">
        <v>0</v>
      </c>
      <c r="G5" s="20">
        <f t="shared" si="0"/>
        <v>1</v>
      </c>
      <c r="H5" s="22">
        <f t="shared" si="1"/>
        <v>0</v>
      </c>
      <c r="I5" s="20" t="str">
        <f t="shared" si="2"/>
        <v>🔴 Crítico</v>
      </c>
    </row>
    <row r="6" spans="1:9" ht="19.5" customHeight="1" x14ac:dyDescent="0.35">
      <c r="A6" s="21" t="s">
        <v>95</v>
      </c>
      <c r="B6" s="27">
        <v>46181</v>
      </c>
      <c r="C6" s="20" t="str">
        <f>"S"&amp;WEEKNUM(PLAN_SEMANAL[[#This Row],[FECHA]])</f>
        <v>S24</v>
      </c>
      <c r="D6" s="21" t="s">
        <v>136</v>
      </c>
      <c r="E6" s="21">
        <v>1</v>
      </c>
      <c r="F6" s="21">
        <v>0</v>
      </c>
      <c r="G6" s="21">
        <f t="shared" si="0"/>
        <v>1</v>
      </c>
      <c r="H6" s="23">
        <f t="shared" si="1"/>
        <v>0</v>
      </c>
      <c r="I6" s="21" t="str">
        <f t="shared" si="2"/>
        <v>🔴 Crítico</v>
      </c>
    </row>
    <row r="7" spans="1:9" ht="19.5" customHeight="1" x14ac:dyDescent="0.35">
      <c r="A7" s="20"/>
      <c r="B7" s="26"/>
      <c r="C7" s="20" t="str">
        <f>"S"&amp;WEEKNUM(PLAN_SEMANAL[[#This Row],[FECHA]])</f>
        <v>S0</v>
      </c>
      <c r="D7" s="20"/>
      <c r="E7" s="20"/>
      <c r="F7" s="20"/>
      <c r="G7" s="20">
        <f t="shared" si="0"/>
        <v>0</v>
      </c>
      <c r="H7" s="22">
        <f t="shared" si="1"/>
        <v>0</v>
      </c>
      <c r="I7" s="20" t="str">
        <f t="shared" si="2"/>
        <v>🔴 Crítico</v>
      </c>
    </row>
    <row r="8" spans="1:9" ht="19.5" customHeight="1" x14ac:dyDescent="0.35">
      <c r="A8" s="21"/>
      <c r="B8" s="27"/>
      <c r="C8" s="20" t="str">
        <f>"S"&amp;WEEKNUM(PLAN_SEMANAL[[#This Row],[FECHA]])</f>
        <v>S0</v>
      </c>
      <c r="D8" s="21"/>
      <c r="E8" s="21"/>
      <c r="F8" s="21"/>
      <c r="G8" s="21">
        <f t="shared" si="0"/>
        <v>0</v>
      </c>
      <c r="H8" s="23">
        <f t="shared" si="1"/>
        <v>0</v>
      </c>
      <c r="I8" s="21" t="str">
        <f t="shared" si="2"/>
        <v>🔴 Crítico</v>
      </c>
    </row>
    <row r="9" spans="1:9" ht="19.5" customHeight="1" x14ac:dyDescent="0.35">
      <c r="A9" s="20"/>
      <c r="B9" s="26"/>
      <c r="C9" s="20" t="str">
        <f>"S"&amp;WEEKNUM(PLAN_SEMANAL[[#This Row],[FECHA]])</f>
        <v>S0</v>
      </c>
      <c r="D9" s="20"/>
      <c r="E9" s="20"/>
      <c r="F9" s="20"/>
      <c r="G9" s="20">
        <f t="shared" si="0"/>
        <v>0</v>
      </c>
      <c r="H9" s="22">
        <f t="shared" si="1"/>
        <v>0</v>
      </c>
      <c r="I9" s="20" t="str">
        <f t="shared" si="2"/>
        <v>🔴 Crítico</v>
      </c>
    </row>
    <row r="10" spans="1:9" ht="19.5" customHeight="1" x14ac:dyDescent="0.35">
      <c r="A10" s="21"/>
      <c r="B10" s="27"/>
      <c r="C10" s="20" t="str">
        <f>"S"&amp;WEEKNUM(PLAN_SEMANAL[[#This Row],[FECHA]])</f>
        <v>S0</v>
      </c>
      <c r="D10" s="21"/>
      <c r="E10" s="21"/>
      <c r="F10" s="21"/>
      <c r="G10" s="21">
        <f t="shared" si="0"/>
        <v>0</v>
      </c>
      <c r="H10" s="23">
        <f t="shared" si="1"/>
        <v>0</v>
      </c>
      <c r="I10" s="21" t="str">
        <f t="shared" si="2"/>
        <v>🔴 Crítico</v>
      </c>
    </row>
    <row r="11" spans="1:9" ht="19.5" customHeight="1" x14ac:dyDescent="0.35">
      <c r="A11" s="53"/>
      <c r="B11" s="64"/>
      <c r="C11" s="20" t="str">
        <f>"S"&amp;WEEKNUM(PLAN_SEMANAL[[#This Row],[FECHA]])</f>
        <v>S0</v>
      </c>
      <c r="D11" s="53"/>
      <c r="E11" s="53"/>
      <c r="F11" s="53"/>
      <c r="G11" s="53">
        <f t="shared" si="0"/>
        <v>0</v>
      </c>
      <c r="H11" s="65">
        <f t="shared" si="1"/>
        <v>0</v>
      </c>
      <c r="I11" s="53" t="str">
        <f t="shared" si="2"/>
        <v>🔴 Crítico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  <headerFooter>
    <oddFooter>&amp;C_x000D_&amp;1#&amp;"Aptos"&amp;11&amp;K000000 BV_C2_Internal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695C"/>
  </sheetPr>
  <dimension ref="A1:L28"/>
  <sheetViews>
    <sheetView showGridLines="0" zoomScale="90" zoomScaleNormal="80" workbookViewId="0">
      <pane ySplit="2" topLeftCell="A3" activePane="bottomLeft" state="frozen"/>
      <selection pane="bottomLeft" activeCell="A3" sqref="A3"/>
    </sheetView>
  </sheetViews>
  <sheetFormatPr baseColWidth="10" defaultColWidth="8.54296875" defaultRowHeight="14.5" x14ac:dyDescent="0.35"/>
  <cols>
    <col min="1" max="1" width="35.1796875" customWidth="1"/>
    <col min="2" max="2" width="64.1796875" customWidth="1"/>
    <col min="3" max="3" width="22" customWidth="1"/>
    <col min="4" max="4" width="30.7265625" customWidth="1"/>
    <col min="5" max="5" width="15" customWidth="1"/>
    <col min="6" max="6" width="15.81640625" customWidth="1"/>
    <col min="7" max="7" width="14" customWidth="1"/>
    <col min="8" max="8" width="10" customWidth="1"/>
    <col min="9" max="9" width="8" customWidth="1"/>
    <col min="10" max="11" width="16" customWidth="1"/>
    <col min="12" max="12" width="13.1796875" customWidth="1"/>
  </cols>
  <sheetData>
    <row r="1" spans="1:12" ht="30" customHeight="1" x14ac:dyDescent="0.35">
      <c r="A1" s="96" t="s">
        <v>1204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2" ht="30" customHeight="1" x14ac:dyDescent="0.35">
      <c r="A2" s="19" t="s">
        <v>66</v>
      </c>
      <c r="B2" s="19" t="s">
        <v>13</v>
      </c>
      <c r="C2" s="19" t="s">
        <v>1205</v>
      </c>
      <c r="D2" s="19" t="s">
        <v>1206</v>
      </c>
      <c r="E2" s="19" t="s">
        <v>68</v>
      </c>
      <c r="F2" s="19" t="s">
        <v>43</v>
      </c>
      <c r="G2" s="19" t="s">
        <v>50</v>
      </c>
      <c r="H2" s="19" t="s">
        <v>23</v>
      </c>
      <c r="I2" s="19" t="s">
        <v>1207</v>
      </c>
      <c r="J2" s="19" t="s">
        <v>1198</v>
      </c>
      <c r="K2" s="19" t="s">
        <v>19</v>
      </c>
      <c r="L2" t="s">
        <v>1208</v>
      </c>
    </row>
    <row r="3" spans="1:12" ht="19.5" customHeight="1" x14ac:dyDescent="0.35">
      <c r="A3" s="20" t="s">
        <v>1209</v>
      </c>
      <c r="B3" s="20" t="s">
        <v>81</v>
      </c>
      <c r="C3" s="20" t="s">
        <v>1210</v>
      </c>
      <c r="D3" s="20" t="s">
        <v>1211</v>
      </c>
      <c r="E3" s="20" t="s">
        <v>1212</v>
      </c>
      <c r="F3" s="20">
        <v>5</v>
      </c>
      <c r="G3" s="20">
        <v>5</v>
      </c>
      <c r="H3" s="22">
        <f t="shared" ref="H3:H18" si="0">IFERROR(G3/F3,0)</f>
        <v>1</v>
      </c>
      <c r="I3" s="20">
        <v>20</v>
      </c>
      <c r="J3" s="24">
        <f t="shared" ref="J3:J18" si="1">IFERROR(H3*I3,0)</f>
        <v>20</v>
      </c>
      <c r="K3" s="20" t="str">
        <f t="shared" ref="K3:K18" si="2">IF(H3&gt;=1,"✅ Entregado","⏳ Pendiente")</f>
        <v>✅ Entregado</v>
      </c>
      <c r="L3" s="89" t="s">
        <v>1213</v>
      </c>
    </row>
    <row r="4" spans="1:12" ht="19.5" customHeight="1" x14ac:dyDescent="0.35">
      <c r="A4" s="21" t="s">
        <v>1209</v>
      </c>
      <c r="B4" s="21" t="s">
        <v>81</v>
      </c>
      <c r="C4" s="21" t="s">
        <v>1210</v>
      </c>
      <c r="D4" s="21" t="s">
        <v>1214</v>
      </c>
      <c r="E4" s="21" t="s">
        <v>1212</v>
      </c>
      <c r="F4" s="21">
        <v>3</v>
      </c>
      <c r="G4" s="21">
        <v>3</v>
      </c>
      <c r="H4" s="23">
        <f t="shared" si="0"/>
        <v>1</v>
      </c>
      <c r="I4" s="21">
        <v>20</v>
      </c>
      <c r="J4" s="25">
        <f t="shared" si="1"/>
        <v>20</v>
      </c>
      <c r="K4" s="21" t="str">
        <f t="shared" si="2"/>
        <v>✅ Entregado</v>
      </c>
      <c r="L4" s="89" t="s">
        <v>1213</v>
      </c>
    </row>
    <row r="5" spans="1:12" ht="19.5" customHeight="1" x14ac:dyDescent="0.35">
      <c r="A5" s="20" t="s">
        <v>1215</v>
      </c>
      <c r="B5" s="20" t="s">
        <v>81</v>
      </c>
      <c r="C5" s="20" t="s">
        <v>1216</v>
      </c>
      <c r="D5" s="20" t="s">
        <v>1217</v>
      </c>
      <c r="E5" s="20" t="s">
        <v>80</v>
      </c>
      <c r="F5" s="20">
        <v>5</v>
      </c>
      <c r="G5" s="20">
        <v>5</v>
      </c>
      <c r="H5" s="22">
        <f t="shared" si="0"/>
        <v>1</v>
      </c>
      <c r="I5" s="20">
        <v>20</v>
      </c>
      <c r="J5" s="24">
        <f t="shared" si="1"/>
        <v>20</v>
      </c>
      <c r="K5" s="20" t="str">
        <f t="shared" si="2"/>
        <v>✅ Entregado</v>
      </c>
      <c r="L5" s="89" t="s">
        <v>1213</v>
      </c>
    </row>
    <row r="6" spans="1:12" ht="19.5" customHeight="1" x14ac:dyDescent="0.35">
      <c r="A6" s="21" t="s">
        <v>1215</v>
      </c>
      <c r="B6" s="21" t="s">
        <v>81</v>
      </c>
      <c r="C6" s="21" t="s">
        <v>1216</v>
      </c>
      <c r="D6" s="21" t="s">
        <v>1218</v>
      </c>
      <c r="E6" s="21" t="s">
        <v>80</v>
      </c>
      <c r="F6" s="21">
        <v>5</v>
      </c>
      <c r="G6" s="21">
        <v>5</v>
      </c>
      <c r="H6" s="23">
        <f t="shared" si="0"/>
        <v>1</v>
      </c>
      <c r="I6" s="21">
        <v>20</v>
      </c>
      <c r="J6" s="25">
        <f t="shared" si="1"/>
        <v>20</v>
      </c>
      <c r="K6" s="21" t="str">
        <f t="shared" si="2"/>
        <v>✅ Entregado</v>
      </c>
      <c r="L6" s="89" t="s">
        <v>1213</v>
      </c>
    </row>
    <row r="7" spans="1:12" ht="19.5" customHeight="1" x14ac:dyDescent="0.35">
      <c r="A7" s="20" t="s">
        <v>1209</v>
      </c>
      <c r="B7" s="20" t="s">
        <v>81</v>
      </c>
      <c r="C7" s="20" t="s">
        <v>1210</v>
      </c>
      <c r="D7" s="20" t="s">
        <v>1219</v>
      </c>
      <c r="E7" s="20" t="s">
        <v>80</v>
      </c>
      <c r="F7" s="20">
        <v>1</v>
      </c>
      <c r="G7" s="20">
        <v>1</v>
      </c>
      <c r="H7" s="22">
        <f t="shared" si="0"/>
        <v>1</v>
      </c>
      <c r="I7" s="20">
        <v>20</v>
      </c>
      <c r="J7" s="24">
        <f t="shared" si="1"/>
        <v>20</v>
      </c>
      <c r="K7" s="20" t="str">
        <f t="shared" si="2"/>
        <v>✅ Entregado</v>
      </c>
      <c r="L7" s="89" t="s">
        <v>1213</v>
      </c>
    </row>
    <row r="8" spans="1:12" ht="19.5" customHeight="1" x14ac:dyDescent="0.35">
      <c r="A8" s="21" t="s">
        <v>1220</v>
      </c>
      <c r="B8" s="21" t="s">
        <v>163</v>
      </c>
      <c r="C8" s="21" t="s">
        <v>1210</v>
      </c>
      <c r="D8" s="87" t="s">
        <v>1221</v>
      </c>
      <c r="E8" s="87" t="s">
        <v>1222</v>
      </c>
      <c r="F8" s="21">
        <v>1</v>
      </c>
      <c r="G8" s="21">
        <v>1</v>
      </c>
      <c r="H8" s="23">
        <f t="shared" si="0"/>
        <v>1</v>
      </c>
      <c r="I8" s="21">
        <v>25</v>
      </c>
      <c r="J8" s="25">
        <f t="shared" si="1"/>
        <v>25</v>
      </c>
      <c r="K8" s="21" t="str">
        <f t="shared" si="2"/>
        <v>✅ Entregado</v>
      </c>
      <c r="L8" s="89" t="s">
        <v>1223</v>
      </c>
    </row>
    <row r="9" spans="1:12" ht="19.5" customHeight="1" x14ac:dyDescent="0.35">
      <c r="A9" s="21" t="s">
        <v>1220</v>
      </c>
      <c r="B9" s="20" t="s">
        <v>163</v>
      </c>
      <c r="C9" s="88" t="s">
        <v>1210</v>
      </c>
      <c r="D9" s="88" t="s">
        <v>1224</v>
      </c>
      <c r="E9" s="20" t="s">
        <v>80</v>
      </c>
      <c r="F9" s="20">
        <v>1</v>
      </c>
      <c r="G9" s="20">
        <v>0</v>
      </c>
      <c r="H9" s="22">
        <f t="shared" si="0"/>
        <v>0</v>
      </c>
      <c r="I9" s="20">
        <v>25</v>
      </c>
      <c r="J9" s="24">
        <f t="shared" si="1"/>
        <v>0</v>
      </c>
      <c r="K9" s="20" t="str">
        <f t="shared" si="2"/>
        <v>⏳ Pendiente</v>
      </c>
      <c r="L9" s="89" t="s">
        <v>1223</v>
      </c>
    </row>
    <row r="10" spans="1:12" ht="19.5" customHeight="1" x14ac:dyDescent="0.35">
      <c r="A10" s="21" t="s">
        <v>1220</v>
      </c>
      <c r="B10" s="21" t="s">
        <v>163</v>
      </c>
      <c r="C10" s="21" t="s">
        <v>1210</v>
      </c>
      <c r="D10" s="87" t="s">
        <v>1225</v>
      </c>
      <c r="E10" s="21" t="s">
        <v>80</v>
      </c>
      <c r="F10" s="21">
        <v>1</v>
      </c>
      <c r="G10" s="21">
        <v>0</v>
      </c>
      <c r="H10" s="23">
        <f t="shared" si="0"/>
        <v>0</v>
      </c>
      <c r="I10" s="21">
        <v>25</v>
      </c>
      <c r="J10" s="25">
        <f t="shared" si="1"/>
        <v>0</v>
      </c>
      <c r="K10" s="21" t="str">
        <f t="shared" si="2"/>
        <v>⏳ Pendiente</v>
      </c>
      <c r="L10" s="89" t="s">
        <v>1223</v>
      </c>
    </row>
    <row r="11" spans="1:12" ht="19.5" customHeight="1" x14ac:dyDescent="0.35">
      <c r="A11" s="20" t="s">
        <v>1226</v>
      </c>
      <c r="B11" s="20" t="s">
        <v>163</v>
      </c>
      <c r="C11" s="20" t="s">
        <v>1216</v>
      </c>
      <c r="D11" s="88" t="s">
        <v>241</v>
      </c>
      <c r="E11" s="20" t="s">
        <v>80</v>
      </c>
      <c r="F11" s="20">
        <v>1</v>
      </c>
      <c r="G11" s="20">
        <v>0</v>
      </c>
      <c r="H11" s="22">
        <f t="shared" si="0"/>
        <v>0</v>
      </c>
      <c r="I11" s="20">
        <v>25</v>
      </c>
      <c r="J11" s="24">
        <f t="shared" si="1"/>
        <v>0</v>
      </c>
      <c r="K11" s="20" t="str">
        <f t="shared" si="2"/>
        <v>⏳ Pendiente</v>
      </c>
      <c r="L11" s="89" t="s">
        <v>1223</v>
      </c>
    </row>
    <row r="12" spans="1:12" ht="19.5" customHeight="1" x14ac:dyDescent="0.35">
      <c r="A12" s="20" t="s">
        <v>1226</v>
      </c>
      <c r="B12" s="88" t="s">
        <v>163</v>
      </c>
      <c r="C12" s="88" t="s">
        <v>1216</v>
      </c>
      <c r="D12" s="88" t="s">
        <v>244</v>
      </c>
      <c r="E12" s="20" t="s">
        <v>80</v>
      </c>
      <c r="F12" s="20">
        <v>1</v>
      </c>
      <c r="G12" s="20">
        <v>0</v>
      </c>
      <c r="H12" s="22">
        <f t="shared" si="0"/>
        <v>0</v>
      </c>
      <c r="I12" s="20">
        <v>25</v>
      </c>
      <c r="J12" s="24">
        <f t="shared" si="1"/>
        <v>0</v>
      </c>
      <c r="K12" s="20" t="str">
        <f t="shared" si="2"/>
        <v>⏳ Pendiente</v>
      </c>
      <c r="L12" s="89" t="s">
        <v>1223</v>
      </c>
    </row>
    <row r="13" spans="1:12" ht="19.5" customHeight="1" x14ac:dyDescent="0.35">
      <c r="A13" s="20" t="s">
        <v>1226</v>
      </c>
      <c r="B13" s="88" t="s">
        <v>163</v>
      </c>
      <c r="C13" s="88" t="s">
        <v>1216</v>
      </c>
      <c r="D13" s="88" t="s">
        <v>1227</v>
      </c>
      <c r="E13" s="20" t="s">
        <v>80</v>
      </c>
      <c r="F13" s="20">
        <v>1</v>
      </c>
      <c r="G13" s="20">
        <v>0</v>
      </c>
      <c r="H13" s="22">
        <f t="shared" si="0"/>
        <v>0</v>
      </c>
      <c r="I13" s="20">
        <v>25</v>
      </c>
      <c r="J13" s="24">
        <f t="shared" si="1"/>
        <v>0</v>
      </c>
      <c r="K13" s="20" t="str">
        <f t="shared" si="2"/>
        <v>⏳ Pendiente</v>
      </c>
      <c r="L13" s="89" t="s">
        <v>1223</v>
      </c>
    </row>
    <row r="14" spans="1:12" ht="19.5" customHeight="1" x14ac:dyDescent="0.35">
      <c r="A14" s="21" t="s">
        <v>1228</v>
      </c>
      <c r="B14" s="21" t="s">
        <v>136</v>
      </c>
      <c r="C14" s="21" t="s">
        <v>1210</v>
      </c>
      <c r="D14" s="87" t="s">
        <v>1221</v>
      </c>
      <c r="E14" s="87" t="s">
        <v>133</v>
      </c>
      <c r="F14" s="21">
        <v>1</v>
      </c>
      <c r="G14" s="21">
        <v>0</v>
      </c>
      <c r="H14" s="23">
        <f t="shared" si="0"/>
        <v>0</v>
      </c>
      <c r="I14" s="21">
        <v>20</v>
      </c>
      <c r="J14" s="25">
        <f t="shared" si="1"/>
        <v>0</v>
      </c>
      <c r="K14" s="21" t="str">
        <f t="shared" si="2"/>
        <v>⏳ Pendiente</v>
      </c>
      <c r="L14" s="89"/>
    </row>
    <row r="15" spans="1:12" ht="19.5" customHeight="1" x14ac:dyDescent="0.35">
      <c r="A15" s="20" t="s">
        <v>1228</v>
      </c>
      <c r="B15" s="20" t="s">
        <v>136</v>
      </c>
      <c r="C15" s="20" t="s">
        <v>1210</v>
      </c>
      <c r="D15" s="88" t="s">
        <v>1224</v>
      </c>
      <c r="E15" s="88" t="s">
        <v>133</v>
      </c>
      <c r="F15" s="20">
        <v>1</v>
      </c>
      <c r="G15" s="20">
        <v>0</v>
      </c>
      <c r="H15" s="22">
        <f t="shared" si="0"/>
        <v>0</v>
      </c>
      <c r="I15" s="20">
        <v>20</v>
      </c>
      <c r="J15" s="24">
        <f t="shared" si="1"/>
        <v>0</v>
      </c>
      <c r="K15" s="20" t="str">
        <f t="shared" si="2"/>
        <v>⏳ Pendiente</v>
      </c>
      <c r="L15" s="89"/>
    </row>
    <row r="16" spans="1:12" ht="19.5" customHeight="1" x14ac:dyDescent="0.35">
      <c r="A16" s="21" t="s">
        <v>1229</v>
      </c>
      <c r="B16" s="21" t="s">
        <v>136</v>
      </c>
      <c r="C16" s="87" t="s">
        <v>1210</v>
      </c>
      <c r="D16" s="87" t="s">
        <v>1225</v>
      </c>
      <c r="E16" s="21" t="s">
        <v>80</v>
      </c>
      <c r="F16" s="21">
        <v>1</v>
      </c>
      <c r="G16" s="21">
        <v>0</v>
      </c>
      <c r="H16" s="23">
        <f t="shared" si="0"/>
        <v>0</v>
      </c>
      <c r="I16" s="21">
        <v>20</v>
      </c>
      <c r="J16" s="25">
        <f t="shared" si="1"/>
        <v>0</v>
      </c>
      <c r="K16" s="21" t="str">
        <f t="shared" si="2"/>
        <v>⏳ Pendiente</v>
      </c>
      <c r="L16" s="89"/>
    </row>
    <row r="17" spans="1:12" ht="19.5" customHeight="1" x14ac:dyDescent="0.35">
      <c r="A17" s="20" t="s">
        <v>1229</v>
      </c>
      <c r="B17" s="20" t="s">
        <v>136</v>
      </c>
      <c r="C17" s="20" t="s">
        <v>1216</v>
      </c>
      <c r="D17" s="20" t="s">
        <v>1230</v>
      </c>
      <c r="E17" s="20" t="s">
        <v>80</v>
      </c>
      <c r="F17" s="20">
        <v>4</v>
      </c>
      <c r="G17" s="20">
        <v>4</v>
      </c>
      <c r="H17" s="22">
        <f t="shared" si="0"/>
        <v>1</v>
      </c>
      <c r="I17" s="20">
        <v>20</v>
      </c>
      <c r="J17" s="24">
        <f t="shared" si="1"/>
        <v>20</v>
      </c>
      <c r="K17" s="20" t="str">
        <f t="shared" si="2"/>
        <v>✅ Entregado</v>
      </c>
      <c r="L17" s="89"/>
    </row>
    <row r="18" spans="1:12" ht="19.5" customHeight="1" x14ac:dyDescent="0.35">
      <c r="A18" s="50" t="s">
        <v>1228</v>
      </c>
      <c r="B18" s="50" t="s">
        <v>136</v>
      </c>
      <c r="C18" s="50" t="s">
        <v>1210</v>
      </c>
      <c r="D18" s="50" t="s">
        <v>1231</v>
      </c>
      <c r="E18" s="50" t="s">
        <v>1212</v>
      </c>
      <c r="F18" s="50">
        <v>1</v>
      </c>
      <c r="G18" s="50">
        <v>1</v>
      </c>
      <c r="H18" s="66">
        <f t="shared" si="0"/>
        <v>1</v>
      </c>
      <c r="I18" s="50">
        <v>20</v>
      </c>
      <c r="J18" s="67">
        <f t="shared" si="1"/>
        <v>20</v>
      </c>
      <c r="K18" s="50" t="str">
        <f t="shared" si="2"/>
        <v>✅ Entregado</v>
      </c>
      <c r="L18" s="89"/>
    </row>
    <row r="19" spans="1:12" x14ac:dyDescent="0.35">
      <c r="L19" s="89"/>
    </row>
    <row r="20" spans="1:12" x14ac:dyDescent="0.35">
      <c r="L20" s="89"/>
    </row>
    <row r="21" spans="1:12" x14ac:dyDescent="0.35">
      <c r="L21" s="89"/>
    </row>
    <row r="22" spans="1:12" x14ac:dyDescent="0.35">
      <c r="L22" s="89"/>
    </row>
    <row r="23" spans="1:12" x14ac:dyDescent="0.35">
      <c r="L23" s="89"/>
    </row>
    <row r="24" spans="1:12" x14ac:dyDescent="0.35">
      <c r="L24" s="89"/>
    </row>
    <row r="25" spans="1:12" x14ac:dyDescent="0.35">
      <c r="L25" s="89"/>
    </row>
    <row r="26" spans="1:12" x14ac:dyDescent="0.35">
      <c r="L26" s="89"/>
    </row>
    <row r="27" spans="1:12" x14ac:dyDescent="0.35">
      <c r="L27" s="89"/>
    </row>
    <row r="28" spans="1:12" x14ac:dyDescent="0.35">
      <c r="L28" s="89"/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  <headerFooter>
    <oddFooter>&amp;C_x000D_&amp;1#&amp;"Aptos"&amp;11&amp;K000000 BV_C2_Internal</oddFoot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65100"/>
  </sheetPr>
  <dimension ref="A1:I13"/>
  <sheetViews>
    <sheetView showGridLines="0" zoomScaleNormal="100" workbookViewId="0">
      <pane ySplit="2" topLeftCell="A3" activePane="bottomLeft" state="frozen"/>
      <selection pane="bottomLeft" activeCell="F4" sqref="F4"/>
    </sheetView>
  </sheetViews>
  <sheetFormatPr baseColWidth="10" defaultColWidth="8.54296875" defaultRowHeight="14.5" x14ac:dyDescent="0.35"/>
  <cols>
    <col min="1" max="1" width="20.453125" customWidth="1"/>
    <col min="2" max="2" width="48" customWidth="1"/>
    <col min="3" max="3" width="26.1796875" customWidth="1"/>
    <col min="4" max="4" width="14.453125" customWidth="1"/>
    <col min="5" max="5" width="14.54296875" customWidth="1"/>
    <col min="6" max="6" width="19.453125" customWidth="1"/>
    <col min="7" max="7" width="16" customWidth="1"/>
    <col min="8" max="8" width="16.1796875" customWidth="1"/>
    <col min="9" max="9" width="19.81640625" customWidth="1"/>
  </cols>
  <sheetData>
    <row r="1" spans="1:9" ht="30" customHeight="1" x14ac:dyDescent="0.35">
      <c r="A1" s="96" t="s">
        <v>1232</v>
      </c>
      <c r="B1" s="97"/>
      <c r="C1" s="97"/>
      <c r="D1" s="97"/>
      <c r="E1" s="97"/>
      <c r="F1" s="97"/>
      <c r="G1" s="97"/>
      <c r="H1" s="97"/>
      <c r="I1" s="97"/>
    </row>
    <row r="2" spans="1:9" ht="34.5" customHeight="1" x14ac:dyDescent="0.35">
      <c r="A2" s="72" t="s">
        <v>1233</v>
      </c>
      <c r="B2" s="73" t="s">
        <v>1234</v>
      </c>
      <c r="C2" s="73" t="s">
        <v>1235</v>
      </c>
      <c r="D2" s="73" t="s">
        <v>18</v>
      </c>
      <c r="E2" s="73" t="s">
        <v>1236</v>
      </c>
      <c r="F2" s="73" t="s">
        <v>1237</v>
      </c>
      <c r="G2" s="73" t="s">
        <v>1238</v>
      </c>
      <c r="H2" s="73" t="s">
        <v>1239</v>
      </c>
      <c r="I2" s="74" t="s">
        <v>1240</v>
      </c>
    </row>
    <row r="3" spans="1:9" ht="19.5" customHeight="1" x14ac:dyDescent="0.35">
      <c r="A3" s="68" t="str">
        <f>CALC_DATA!A3</f>
        <v>AZUFRE II</v>
      </c>
      <c r="B3" s="28" t="str">
        <f>CALC_DATA!B3</f>
        <v>ECD22005_SISTEMA B-2880 AZUFRE II ETAPA 2</v>
      </c>
      <c r="C3" s="28">
        <f>CALC_DATA!C3</f>
        <v>8</v>
      </c>
      <c r="D3" s="28">
        <f>CALC_DATA!D3</f>
        <v>8</v>
      </c>
      <c r="E3" s="28">
        <f>CALC_DATA!E3</f>
        <v>0</v>
      </c>
      <c r="F3" s="29">
        <f>CALC_DATA!F3</f>
        <v>1</v>
      </c>
      <c r="G3" s="29">
        <f>CALC_DATA!G3</f>
        <v>1</v>
      </c>
      <c r="H3" s="29">
        <f>CALC_DATA!H3</f>
        <v>1</v>
      </c>
      <c r="I3" s="70" t="str">
        <f t="shared" ref="I3:I13" si="0">IF(F3&gt;=0.9,"✅ Verde",IF(F3&gt;=0.7,"⚠️ Amarillo","🔴 Crítico"))</f>
        <v>✅ Verde</v>
      </c>
    </row>
    <row r="4" spans="1:9" ht="28.75" customHeight="1" x14ac:dyDescent="0.35">
      <c r="A4" s="69" t="str">
        <f>CALC_DATA!A4</f>
        <v>NUEVOLABORATORIO</v>
      </c>
      <c r="B4" s="30" t="str">
        <f>CALC_DATA!B4</f>
        <v>ECD17011_NUEVOLABORATORIO GRB</v>
      </c>
      <c r="C4" s="30">
        <f>CALC_DATA!C4</f>
        <v>2</v>
      </c>
      <c r="D4" s="30">
        <f>CALC_DATA!D4</f>
        <v>0</v>
      </c>
      <c r="E4" s="30">
        <f>CALC_DATA!E4</f>
        <v>2</v>
      </c>
      <c r="F4" s="31">
        <f>CALC_DATA!F4</f>
        <v>0</v>
      </c>
      <c r="G4" s="31">
        <f>CALC_DATA!G4</f>
        <v>0</v>
      </c>
      <c r="H4" s="31">
        <f>CALC_DATA!H4</f>
        <v>0</v>
      </c>
      <c r="I4" s="71" t="str">
        <f t="shared" si="0"/>
        <v>🔴 Crítico</v>
      </c>
    </row>
    <row r="5" spans="1:9" ht="29.5" customHeight="1" x14ac:dyDescent="0.35">
      <c r="A5" s="68" t="str">
        <f>CALC_DATA!A5</f>
        <v>LBCC 10PPM</v>
      </c>
      <c r="B5" s="28" t="str">
        <f>CALC_DATA!B5</f>
        <v>ECD20005_LINEA BASE CALIDAD DE COMBUSTIBLE 10 PPM</v>
      </c>
      <c r="C5" s="28">
        <f>CALC_DATA!C5</f>
        <v>12</v>
      </c>
      <c r="D5" s="28">
        <f>CALC_DATA!D5</f>
        <v>2</v>
      </c>
      <c r="E5" s="28">
        <f>CALC_DATA!E5</f>
        <v>10</v>
      </c>
      <c r="F5" s="29">
        <f>CALC_DATA!F5</f>
        <v>0.19557416267942582</v>
      </c>
      <c r="G5" s="29">
        <f>CALC_DATA!G5</f>
        <v>0.33333333333333331</v>
      </c>
      <c r="H5" s="29">
        <f>CALC_DATA!H5</f>
        <v>3.0263157894736843E-2</v>
      </c>
      <c r="I5" s="70" t="str">
        <f t="shared" si="0"/>
        <v>🔴 Crítico</v>
      </c>
    </row>
    <row r="6" spans="1:9" ht="19.5" customHeight="1" x14ac:dyDescent="0.35">
      <c r="A6" s="69" t="str">
        <f>CALC_DATA!A6</f>
        <v>PROYECTO 4</v>
      </c>
      <c r="B6" s="30">
        <f>CALC_DATA!B6</f>
        <v>0</v>
      </c>
      <c r="C6" s="30">
        <f>CALC_DATA!C6</f>
        <v>0</v>
      </c>
      <c r="D6" s="30">
        <f>CALC_DATA!D6</f>
        <v>0</v>
      </c>
      <c r="E6" s="30">
        <f>CALC_DATA!E6</f>
        <v>0</v>
      </c>
      <c r="F6" s="31">
        <f>CALC_DATA!F6</f>
        <v>0</v>
      </c>
      <c r="G6" s="31">
        <f>CALC_DATA!G6</f>
        <v>0</v>
      </c>
      <c r="H6" s="31">
        <f>CALC_DATA!H6</f>
        <v>0</v>
      </c>
      <c r="I6" s="71" t="str">
        <f t="shared" si="0"/>
        <v>🔴 Crítico</v>
      </c>
    </row>
    <row r="7" spans="1:9" ht="19.5" customHeight="1" x14ac:dyDescent="0.35">
      <c r="A7" s="68" t="str">
        <f>CALC_DATA!A7</f>
        <v>PROYECTO 5</v>
      </c>
      <c r="B7" s="28">
        <f>CALC_DATA!B7</f>
        <v>0</v>
      </c>
      <c r="C7" s="28">
        <f>CALC_DATA!C7</f>
        <v>0</v>
      </c>
      <c r="D7" s="28">
        <f>CALC_DATA!D7</f>
        <v>0</v>
      </c>
      <c r="E7" s="28">
        <f>CALC_DATA!E7</f>
        <v>0</v>
      </c>
      <c r="F7" s="29">
        <f>CALC_DATA!F7</f>
        <v>0</v>
      </c>
      <c r="G7" s="29">
        <f>CALC_DATA!G7</f>
        <v>0</v>
      </c>
      <c r="H7" s="29">
        <f>CALC_DATA!H7</f>
        <v>0</v>
      </c>
      <c r="I7" s="70" t="str">
        <f t="shared" si="0"/>
        <v>🔴 Crítico</v>
      </c>
    </row>
    <row r="8" spans="1:9" ht="19.5" customHeight="1" x14ac:dyDescent="0.35">
      <c r="A8" s="69" t="str">
        <f>CALC_DATA!A8</f>
        <v>PROYECTO 6</v>
      </c>
      <c r="B8" s="30">
        <f>CALC_DATA!B8</f>
        <v>0</v>
      </c>
      <c r="C8" s="30">
        <f>CALC_DATA!C8</f>
        <v>0</v>
      </c>
      <c r="D8" s="30">
        <f>CALC_DATA!D8</f>
        <v>0</v>
      </c>
      <c r="E8" s="30">
        <f>CALC_DATA!E8</f>
        <v>0</v>
      </c>
      <c r="F8" s="31">
        <f>CALC_DATA!F8</f>
        <v>0</v>
      </c>
      <c r="G8" s="31">
        <f>CALC_DATA!G8</f>
        <v>0</v>
      </c>
      <c r="H8" s="31">
        <f>CALC_DATA!H8</f>
        <v>0</v>
      </c>
      <c r="I8" s="71" t="str">
        <f t="shared" si="0"/>
        <v>🔴 Crítico</v>
      </c>
    </row>
    <row r="9" spans="1:9" ht="19.5" customHeight="1" x14ac:dyDescent="0.35">
      <c r="A9" s="68" t="str">
        <f>CALC_DATA!A9</f>
        <v>PROYECTO 7</v>
      </c>
      <c r="B9" s="28">
        <f>CALC_DATA!B9</f>
        <v>0</v>
      </c>
      <c r="C9" s="28">
        <f>CALC_DATA!C9</f>
        <v>0</v>
      </c>
      <c r="D9" s="28">
        <f>CALC_DATA!D9</f>
        <v>0</v>
      </c>
      <c r="E9" s="28">
        <f>CALC_DATA!E9</f>
        <v>0</v>
      </c>
      <c r="F9" s="29">
        <f>CALC_DATA!F9</f>
        <v>0</v>
      </c>
      <c r="G9" s="29">
        <f>CALC_DATA!G9</f>
        <v>0</v>
      </c>
      <c r="H9" s="29">
        <f>CALC_DATA!H9</f>
        <v>0</v>
      </c>
      <c r="I9" s="70" t="str">
        <f t="shared" si="0"/>
        <v>🔴 Crítico</v>
      </c>
    </row>
    <row r="10" spans="1:9" ht="19.5" customHeight="1" x14ac:dyDescent="0.35">
      <c r="A10" s="69" t="str">
        <f>CALC_DATA!A10</f>
        <v>PROYECTO 8</v>
      </c>
      <c r="B10" s="30">
        <f>CALC_DATA!B10</f>
        <v>0</v>
      </c>
      <c r="C10" s="30">
        <f>CALC_DATA!C10</f>
        <v>0</v>
      </c>
      <c r="D10" s="30">
        <f>CALC_DATA!D10</f>
        <v>0</v>
      </c>
      <c r="E10" s="30">
        <f>CALC_DATA!E10</f>
        <v>0</v>
      </c>
      <c r="F10" s="31">
        <f>CALC_DATA!F10</f>
        <v>0</v>
      </c>
      <c r="G10" s="31">
        <f>CALC_DATA!G10</f>
        <v>0</v>
      </c>
      <c r="H10" s="31">
        <f>CALC_DATA!H10</f>
        <v>0</v>
      </c>
      <c r="I10" s="71" t="str">
        <f t="shared" si="0"/>
        <v>🔴 Crítico</v>
      </c>
    </row>
    <row r="11" spans="1:9" ht="19.5" customHeight="1" x14ac:dyDescent="0.35">
      <c r="A11" s="68" t="str">
        <f>CALC_DATA!A11</f>
        <v>PROYECTO 9</v>
      </c>
      <c r="B11" s="28">
        <f>CALC_DATA!B11</f>
        <v>0</v>
      </c>
      <c r="C11" s="28">
        <f>CALC_DATA!C11</f>
        <v>0</v>
      </c>
      <c r="D11" s="28">
        <f>CALC_DATA!D11</f>
        <v>0</v>
      </c>
      <c r="E11" s="28">
        <f>CALC_DATA!E11</f>
        <v>0</v>
      </c>
      <c r="F11" s="29">
        <f>CALC_DATA!F11</f>
        <v>0</v>
      </c>
      <c r="G11" s="29">
        <f>CALC_DATA!G11</f>
        <v>0</v>
      </c>
      <c r="H11" s="29">
        <f>CALC_DATA!H11</f>
        <v>0</v>
      </c>
      <c r="I11" s="70" t="str">
        <f t="shared" si="0"/>
        <v>🔴 Crítico</v>
      </c>
    </row>
    <row r="12" spans="1:9" ht="19.5" customHeight="1" x14ac:dyDescent="0.35">
      <c r="A12" s="69" t="str">
        <f>CALC_DATA!A12</f>
        <v>PROYECTO 10</v>
      </c>
      <c r="B12" s="30">
        <f>CALC_DATA!B12</f>
        <v>0</v>
      </c>
      <c r="C12" s="30">
        <f>CALC_DATA!C12</f>
        <v>0</v>
      </c>
      <c r="D12" s="30">
        <f>CALC_DATA!D12</f>
        <v>0</v>
      </c>
      <c r="E12" s="30">
        <f>CALC_DATA!E12</f>
        <v>0</v>
      </c>
      <c r="F12" s="31">
        <f>CALC_DATA!F12</f>
        <v>0</v>
      </c>
      <c r="G12" s="31">
        <f>CALC_DATA!G12</f>
        <v>0</v>
      </c>
      <c r="H12" s="31">
        <f>CALC_DATA!H12</f>
        <v>0</v>
      </c>
      <c r="I12" s="71" t="str">
        <f t="shared" si="0"/>
        <v>🔴 Crítico</v>
      </c>
    </row>
    <row r="13" spans="1:9" ht="24.75" customHeight="1" x14ac:dyDescent="0.35">
      <c r="A13" s="75" t="s">
        <v>1241</v>
      </c>
      <c r="B13" s="76"/>
      <c r="C13" s="77">
        <f>IFERROR(SUM(C3:C12),0)</f>
        <v>22</v>
      </c>
      <c r="D13" s="77">
        <f>IFERROR(SUM(D3:D12),0)</f>
        <v>10</v>
      </c>
      <c r="E13" s="77">
        <f>IFERROR(SUM(E3:E12),0)</f>
        <v>12</v>
      </c>
      <c r="F13" s="78">
        <f>IFERROR(SUMPRODUCT((AVANCE!A$3:A$206&lt;&gt;"")*AVANCE!G$3:G$206*AVANCE!F$3:F$206)/IFERROR(SUMPRODUCT((AVANCE!A$3:A$206&lt;&gt;"")*AVANCE!G$3:G$206),1),0)</f>
        <v>0.57842750396161779</v>
      </c>
      <c r="G13" s="78">
        <f>IFERROR(SUMPRODUCT((AVANCE!C$3:C$206="QA")*AVANCE!G$3:G$206*AVANCE!F$3:F$206)/IFERROR(SUMPRODUCT((AVANCE!C$3:C$206="QA")*AVANCE!G$3:G$206),1),0)</f>
        <v>0.55555555555555558</v>
      </c>
      <c r="H13" s="78">
        <f>IFERROR(SUMPRODUCT((AVANCE!C$3:C$206="QC")*AVANCE!G$3:G$206*AVANCE!F$3:F$206)/IFERROR(SUMPRODUCT((AVANCE!C$3:C$206="QC")*AVANCE!G$3:G$206),1),0)</f>
        <v>0.59557075073692978</v>
      </c>
      <c r="I13" s="79" t="str">
        <f t="shared" si="0"/>
        <v>🔴 Crítico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  <headerFooter>
    <oddFooter>&amp;C_x000D_&amp;1#&amp;"Aptos"&amp;11&amp;K000000 BV_C2_Internal</oddFooter>
  </headerFooter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B71C1C"/>
  </sheetPr>
  <dimension ref="A1:K4"/>
  <sheetViews>
    <sheetView showGridLines="0" zoomScaleNormal="100" workbookViewId="0">
      <pane ySplit="2" topLeftCell="A3" activePane="bottomLeft" state="frozen"/>
      <selection pane="bottomLeft" activeCell="I4" sqref="I4"/>
    </sheetView>
  </sheetViews>
  <sheetFormatPr baseColWidth="10" defaultColWidth="8.54296875" defaultRowHeight="14.5" x14ac:dyDescent="0.35"/>
  <cols>
    <col min="1" max="1" width="10" customWidth="1"/>
    <col min="2" max="2" width="15" customWidth="1"/>
    <col min="3" max="3" width="45" customWidth="1"/>
    <col min="4" max="4" width="15" customWidth="1"/>
    <col min="5" max="6" width="57.1796875" customWidth="1"/>
    <col min="7" max="7" width="18" customWidth="1"/>
    <col min="8" max="8" width="15" customWidth="1"/>
    <col min="9" max="9" width="14" customWidth="1"/>
    <col min="10" max="10" width="57.1796875" customWidth="1"/>
    <col min="11" max="11" width="55.81640625" customWidth="1"/>
  </cols>
  <sheetData>
    <row r="1" spans="1:11" ht="30" customHeight="1" x14ac:dyDescent="0.35">
      <c r="A1" s="128" t="s">
        <v>1242</v>
      </c>
      <c r="B1" s="97"/>
      <c r="C1" s="97"/>
      <c r="D1" s="97"/>
      <c r="E1" s="97"/>
      <c r="F1" s="97"/>
      <c r="G1" s="97"/>
      <c r="H1" s="97"/>
      <c r="I1" s="97"/>
      <c r="J1" s="97"/>
      <c r="K1" s="97"/>
    </row>
    <row r="2" spans="1:11" ht="30" customHeight="1" x14ac:dyDescent="0.35">
      <c r="A2" s="32" t="s">
        <v>1243</v>
      </c>
      <c r="B2" s="32" t="s">
        <v>1244</v>
      </c>
      <c r="C2" s="32" t="s">
        <v>13</v>
      </c>
      <c r="D2" s="32" t="s">
        <v>68</v>
      </c>
      <c r="E2" s="32" t="s">
        <v>1245</v>
      </c>
      <c r="F2" s="32" t="s">
        <v>1246</v>
      </c>
      <c r="G2" s="32" t="s">
        <v>1247</v>
      </c>
      <c r="H2" s="32" t="s">
        <v>1248</v>
      </c>
      <c r="I2" s="32" t="s">
        <v>19</v>
      </c>
      <c r="J2" s="32" t="s">
        <v>1249</v>
      </c>
      <c r="K2" s="32" t="s">
        <v>1250</v>
      </c>
    </row>
    <row r="3" spans="1:11" ht="49.5" customHeight="1" x14ac:dyDescent="0.35">
      <c r="A3" s="80" t="s">
        <v>1251</v>
      </c>
      <c r="B3" s="81" t="s">
        <v>1252</v>
      </c>
      <c r="C3" s="80" t="s">
        <v>163</v>
      </c>
      <c r="D3" s="80" t="s">
        <v>80</v>
      </c>
      <c r="E3" s="80" t="s">
        <v>1253</v>
      </c>
      <c r="F3" s="80" t="s">
        <v>1254</v>
      </c>
      <c r="G3" s="80" t="s">
        <v>172</v>
      </c>
      <c r="H3" s="81" t="s">
        <v>1255</v>
      </c>
      <c r="I3" s="80" t="s">
        <v>1256</v>
      </c>
      <c r="J3" s="80" t="s">
        <v>1257</v>
      </c>
      <c r="K3" s="80" t="s">
        <v>1258</v>
      </c>
    </row>
    <row r="4" spans="1:11" ht="25" x14ac:dyDescent="0.35">
      <c r="A4" s="80" t="s">
        <v>1259</v>
      </c>
      <c r="B4" s="81" t="s">
        <v>1252</v>
      </c>
      <c r="C4" s="80" t="s">
        <v>163</v>
      </c>
      <c r="D4" s="80" t="s">
        <v>80</v>
      </c>
      <c r="E4" s="80" t="s">
        <v>1253</v>
      </c>
      <c r="F4" s="80" t="s">
        <v>1254</v>
      </c>
      <c r="G4" s="80" t="s">
        <v>174</v>
      </c>
      <c r="H4" s="81" t="s">
        <v>1255</v>
      </c>
      <c r="I4" s="80" t="s">
        <v>1256</v>
      </c>
      <c r="J4" s="80" t="s">
        <v>1257</v>
      </c>
      <c r="K4" s="80" t="s">
        <v>1260</v>
      </c>
    </row>
  </sheetData>
  <autoFilter ref="A2:K2" xr:uid="{00000000-0001-0000-0700-000000000000}"/>
  <mergeCells count="1">
    <mergeCell ref="A1:K1"/>
  </mergeCells>
  <pageMargins left="0.75" right="0.75" top="1" bottom="1" header="0.511811023622047" footer="0.511811023622047"/>
  <pageSetup paperSize="9" orientation="portrait" horizontalDpi="300" verticalDpi="300"/>
  <headerFooter>
    <oddFooter>&amp;C_x000D_&amp;1#&amp;"Aptos"&amp;11&amp;K000000 BV_C2_Internal</oddFooter>
  </headerFooter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4A148C"/>
  </sheetPr>
  <dimension ref="A1:H22"/>
  <sheetViews>
    <sheetView showGridLines="0" topLeftCell="A2" zoomScaleNormal="100" workbookViewId="0">
      <selection activeCell="C3" sqref="C3"/>
    </sheetView>
  </sheetViews>
  <sheetFormatPr baseColWidth="10" defaultColWidth="8.54296875" defaultRowHeight="14.5" x14ac:dyDescent="0.35"/>
  <cols>
    <col min="1" max="1" width="20" customWidth="1"/>
    <col min="2" max="2" width="53.453125" customWidth="1"/>
    <col min="3" max="3" width="14" customWidth="1"/>
    <col min="4" max="4" width="12" customWidth="1"/>
    <col min="5" max="6" width="14" customWidth="1"/>
    <col min="7" max="7" width="16" customWidth="1"/>
    <col min="8" max="8" width="14" customWidth="1"/>
  </cols>
  <sheetData>
    <row r="1" spans="1:8" ht="27.75" customHeight="1" x14ac:dyDescent="0.35">
      <c r="A1" s="129" t="s">
        <v>1261</v>
      </c>
      <c r="B1" s="97"/>
      <c r="C1" s="97"/>
      <c r="D1" s="97"/>
      <c r="E1" s="97"/>
      <c r="F1" s="97"/>
      <c r="G1" s="97"/>
      <c r="H1" s="97"/>
    </row>
    <row r="2" spans="1:8" ht="21.75" customHeight="1" x14ac:dyDescent="0.35">
      <c r="A2" s="33" t="s">
        <v>1262</v>
      </c>
      <c r="B2" s="33" t="s">
        <v>1263</v>
      </c>
      <c r="C2" s="33" t="s">
        <v>1264</v>
      </c>
      <c r="D2" s="33" t="s">
        <v>18</v>
      </c>
      <c r="E2" s="33" t="s">
        <v>1236</v>
      </c>
      <c r="F2" s="33" t="s">
        <v>1265</v>
      </c>
      <c r="G2" s="33" t="s">
        <v>1266</v>
      </c>
      <c r="H2" s="33" t="s">
        <v>1267</v>
      </c>
    </row>
    <row r="3" spans="1:8" x14ac:dyDescent="0.35">
      <c r="A3" s="34" t="s">
        <v>24</v>
      </c>
      <c r="B3" s="35" t="s">
        <v>81</v>
      </c>
      <c r="C3" s="36">
        <f>IFERROR(COUNTIF(AVANCE!B$3:B$206,B3),0)</f>
        <v>8</v>
      </c>
      <c r="D3" s="36">
        <f>IFERROR(COUNTIFS(AVANCE!B$3:B$206,B3,AVANCE!J$3:J$206,"✅ Completo"),0)</f>
        <v>8</v>
      </c>
      <c r="E3" s="36">
        <f t="shared" ref="E3:E12" si="0">IFERROR(C3-D3,0)</f>
        <v>0</v>
      </c>
      <c r="F3" s="37">
        <f>IFERROR(SUMPRODUCT((AVANCE!B$3:B$206=B3)*AVANCE!H$3:H$206)/IFERROR(SUMPRODUCT((AVANCE!B$3:B$206=B3)*AVANCE!G$3:G$206),1),0)</f>
        <v>1</v>
      </c>
      <c r="G3" s="37">
        <f>IFERROR(SUMPRODUCT((AVANCE!B$3:B$206=B3)*(AVANCE!C$3:C$206="QA")*AVANCE!H$3:H$206)/IFERROR(SUMPRODUCT((AVANCE!B$3:B$206=B3)*(AVANCE!C$3:C$206="QA")*AVANCE!G$3:G$206),1),0)</f>
        <v>1</v>
      </c>
      <c r="H3" s="37">
        <f>IFERROR(SUMPRODUCT((AVANCE!B$3:B$206=B3)*(AVANCE!C$3:C$206="QC")*AVANCE!H$3:H$206)/IFERROR(SUMPRODUCT((AVANCE!B$3:B$206=B3)*(AVANCE!C$3:C$206="QC")*AVANCE!G$3:G$206),1),0)</f>
        <v>1</v>
      </c>
    </row>
    <row r="4" spans="1:8" x14ac:dyDescent="0.35">
      <c r="A4" s="38" t="s">
        <v>28</v>
      </c>
      <c r="B4" s="39" t="s">
        <v>163</v>
      </c>
      <c r="C4" s="40">
        <f>IFERROR(COUNTIF(AVANCE!B$3:B$206,B4),0)</f>
        <v>2</v>
      </c>
      <c r="D4" s="40">
        <f>IFERROR(COUNTIFS(AVANCE!B$3:B$206,B4,AVANCE!J$3:J$206,"✅ Completo"),0)</f>
        <v>0</v>
      </c>
      <c r="E4" s="40">
        <f t="shared" si="0"/>
        <v>2</v>
      </c>
      <c r="F4" s="41">
        <f>IFERROR(SUMPRODUCT((AVANCE!B$3:B$206=B4)*AVANCE!H$3:H$206)/IFERROR(SUMPRODUCT((AVANCE!B$3:B$206=B4)*AVANCE!G$3:G$206),1),0)</f>
        <v>0</v>
      </c>
      <c r="G4" s="41">
        <f>IFERROR(SUMPRODUCT((AVANCE!B$3:B$206=B4)*(AVANCE!C$3:C$206="QA")*AVANCE!H$3:H$206)/IFERROR(SUMPRODUCT((AVANCE!B$3:B$206=B4)*(AVANCE!C$3:C$206="QA")*AVANCE!G$3:G$206),1),0)</f>
        <v>0</v>
      </c>
      <c r="H4" s="41">
        <f>IFERROR(SUMPRODUCT((AVANCE!B$3:B$206=B4)*(AVANCE!C$3:C$206="QC")*AVANCE!H$3:H$206)/IFERROR(SUMPRODUCT((AVANCE!B$3:B$206=B4)*(AVANCE!C$3:C$206="QC")*AVANCE!G$3:G$206),1),0)</f>
        <v>0</v>
      </c>
    </row>
    <row r="5" spans="1:8" x14ac:dyDescent="0.35">
      <c r="A5" s="34" t="s">
        <v>32</v>
      </c>
      <c r="B5" s="35" t="s">
        <v>136</v>
      </c>
      <c r="C5" s="36">
        <f>IFERROR(COUNTIF(AVANCE!B$3:B$206,B5),0)</f>
        <v>12</v>
      </c>
      <c r="D5" s="36">
        <f>IFERROR(COUNTIFS(AVANCE!B$3:B$206,B5,AVANCE!J$3:J$206,"✅ Completo"),0)</f>
        <v>2</v>
      </c>
      <c r="E5" s="36">
        <f t="shared" si="0"/>
        <v>10</v>
      </c>
      <c r="F5" s="37">
        <f>IFERROR(SUMPRODUCT((AVANCE!B$3:B$206=B5)*AVANCE!H$3:H$206)/IFERROR(SUMPRODUCT((AVANCE!B$3:B$206=B5)*AVANCE!G$3:G$206),1),0)</f>
        <v>0.19557416267942582</v>
      </c>
      <c r="G5" s="37">
        <f>IFERROR(SUMPRODUCT((AVANCE!B$3:B$206=B5)*(AVANCE!C$3:C$206="QA")*AVANCE!H$3:H$206)/IFERROR(SUMPRODUCT((AVANCE!B$3:B$206=B5)*(AVANCE!C$3:C$206="QA")*AVANCE!G$3:G$206),1),0)</f>
        <v>0.33333333333333331</v>
      </c>
      <c r="H5" s="37">
        <f>IFERROR(SUMPRODUCT((AVANCE!B$3:B$206=B5)*(AVANCE!C$3:C$206="QC")*AVANCE!H$3:H$206)/IFERROR(SUMPRODUCT((AVANCE!B$3:B$206=B5)*(AVANCE!C$3:C$206="QC")*AVANCE!G$3:G$206),1),0)</f>
        <v>3.0263157894736843E-2</v>
      </c>
    </row>
    <row r="6" spans="1:8" x14ac:dyDescent="0.35">
      <c r="A6" s="38" t="s">
        <v>1268</v>
      </c>
      <c r="B6" s="39"/>
      <c r="C6" s="40">
        <f>IFERROR(COUNTIF(AVANCE!B$3:B$207,B6),0)</f>
        <v>0</v>
      </c>
      <c r="D6" s="40">
        <f>IFERROR(COUNTIFS(AVANCE!B$3:B$207,B6,AVANCE!F$3:F$207,1),0)</f>
        <v>0</v>
      </c>
      <c r="E6" s="40">
        <f t="shared" si="0"/>
        <v>0</v>
      </c>
      <c r="F6" s="41">
        <f>IFERROR(SUMPRODUCT((AVANCE!B$3:B$207=B6)*AVANCE!H$3:H$207)/SUMPRODUCT((AVANCE!B$3:B$207=B6)*AVANCE!G$3:G$207),0)</f>
        <v>0</v>
      </c>
      <c r="G6" s="41">
        <f>IFERROR(SUMPRODUCT((AVANCE!B$3:B$207=B6)*(AVANCE!C$3:C$207="QA")*AVANCE!H$3:H$207)/SUMPRODUCT((AVANCE!B$3:B$207=B6)*(AVANCE!C$3:C$207="QA")*AVANCE!G$3:G$207),0)</f>
        <v>0</v>
      </c>
      <c r="H6" s="41">
        <f>IFERROR(SUMPRODUCT((AVANCE!B$3:B$207=B6)*(AVANCE!C$3:C$207="QC")*AVANCE!H$3:H$207)/SUMPRODUCT((AVANCE!B$3:B$207=B6)*(AVANCE!C$3:C$207="QC")*AVANCE!G$3:G$207),0)</f>
        <v>0</v>
      </c>
    </row>
    <row r="7" spans="1:8" x14ac:dyDescent="0.35">
      <c r="A7" s="38" t="s">
        <v>1269</v>
      </c>
      <c r="B7" s="39"/>
      <c r="C7" s="40">
        <f>IFERROR(COUNTIF(AVANCE!B$3:B$207,B7),0)</f>
        <v>0</v>
      </c>
      <c r="D7" s="40">
        <f>IFERROR(COUNTIFS(AVANCE!B$3:B$207,B7,AVANCE!F$3:F$207,1),0)</f>
        <v>0</v>
      </c>
      <c r="E7" s="40">
        <f t="shared" si="0"/>
        <v>0</v>
      </c>
      <c r="F7" s="41">
        <f>IFERROR(SUMPRODUCT((AVANCE!B$3:B$207=B7)*AVANCE!H$3:H$207)/SUMPRODUCT((AVANCE!B$3:B$207=B7)*AVANCE!G$3:G$207),0)</f>
        <v>0</v>
      </c>
      <c r="G7" s="41">
        <f>IFERROR(SUMPRODUCT((AVANCE!B$3:B$207=B7)*(AVANCE!C$3:C$207="QA")*AVANCE!H$3:H$207)/SUMPRODUCT((AVANCE!B$3:B$207=B7)*(AVANCE!C$3:C$207="QA")*AVANCE!G$3:G$207),0)</f>
        <v>0</v>
      </c>
      <c r="H7" s="41">
        <f>IFERROR(SUMPRODUCT((AVANCE!B$3:B$207=B7)*(AVANCE!C$3:C$207="QC")*AVANCE!H$3:H$207)/SUMPRODUCT((AVANCE!B$3:B$207=B7)*(AVANCE!C$3:C$207="QC")*AVANCE!G$3:G$207),0)</f>
        <v>0</v>
      </c>
    </row>
    <row r="8" spans="1:8" x14ac:dyDescent="0.35">
      <c r="A8" s="38" t="s">
        <v>1270</v>
      </c>
      <c r="B8" s="39"/>
      <c r="C8" s="40">
        <f>IFERROR(COUNTIF(AVANCE!B$3:B$207,B8),0)</f>
        <v>0</v>
      </c>
      <c r="D8" s="40">
        <f>IFERROR(COUNTIFS(AVANCE!B$3:B$207,B8,AVANCE!F$3:F$207,1),0)</f>
        <v>0</v>
      </c>
      <c r="E8" s="40">
        <f t="shared" si="0"/>
        <v>0</v>
      </c>
      <c r="F8" s="41">
        <f>IFERROR(SUMPRODUCT((AVANCE!B$3:B$207=B8)*AVANCE!H$3:H$207)/SUMPRODUCT((AVANCE!B$3:B$207=B8)*AVANCE!G$3:G$207),0)</f>
        <v>0</v>
      </c>
      <c r="G8" s="41">
        <f>IFERROR(SUMPRODUCT((AVANCE!B$3:B$207=B8)*(AVANCE!C$3:C$207="QA")*AVANCE!H$3:H$207)/SUMPRODUCT((AVANCE!B$3:B$207=B8)*(AVANCE!C$3:C$207="QA")*AVANCE!G$3:G$207),0)</f>
        <v>0</v>
      </c>
      <c r="H8" s="41">
        <f>IFERROR(SUMPRODUCT((AVANCE!B$3:B$207=B8)*(AVANCE!C$3:C$207="QC")*AVANCE!H$3:H$207)/SUMPRODUCT((AVANCE!B$3:B$207=B8)*(AVANCE!C$3:C$207="QC")*AVANCE!G$3:G$207),0)</f>
        <v>0</v>
      </c>
    </row>
    <row r="9" spans="1:8" x14ac:dyDescent="0.35">
      <c r="A9" s="38" t="s">
        <v>1271</v>
      </c>
      <c r="B9" s="39"/>
      <c r="C9" s="40">
        <f>IFERROR(COUNTIF(AVANCE!B$3:B$207,B9),0)</f>
        <v>0</v>
      </c>
      <c r="D9" s="40">
        <f>IFERROR(COUNTIFS(AVANCE!B$3:B$207,B9,AVANCE!F$3:F$207,1),0)</f>
        <v>0</v>
      </c>
      <c r="E9" s="40">
        <f t="shared" si="0"/>
        <v>0</v>
      </c>
      <c r="F9" s="41">
        <f>IFERROR(SUMPRODUCT((AVANCE!B$3:B$207=B9)*AVANCE!H$3:H$207)/SUMPRODUCT((AVANCE!B$3:B$207=B9)*AVANCE!G$3:G$207),0)</f>
        <v>0</v>
      </c>
      <c r="G9" s="41">
        <f>IFERROR(SUMPRODUCT((AVANCE!B$3:B$207=B9)*(AVANCE!C$3:C$207="QA")*AVANCE!H$3:H$207)/SUMPRODUCT((AVANCE!B$3:B$207=B9)*(AVANCE!C$3:C$207="QA")*AVANCE!G$3:G$207),0)</f>
        <v>0</v>
      </c>
      <c r="H9" s="41">
        <f>IFERROR(SUMPRODUCT((AVANCE!B$3:B$207=B9)*(AVANCE!C$3:C$207="QC")*AVANCE!H$3:H$207)/SUMPRODUCT((AVANCE!B$3:B$207=B9)*(AVANCE!C$3:C$207="QC")*AVANCE!G$3:G$207),0)</f>
        <v>0</v>
      </c>
    </row>
    <row r="10" spans="1:8" x14ac:dyDescent="0.35">
      <c r="A10" s="38" t="s">
        <v>1272</v>
      </c>
      <c r="B10" s="39"/>
      <c r="C10" s="40">
        <f>IFERROR(COUNTIF(AVANCE!B$3:B$207,B10),0)</f>
        <v>0</v>
      </c>
      <c r="D10" s="40">
        <f>IFERROR(COUNTIFS(AVANCE!B$3:B$207,B10,AVANCE!F$3:F$207,1),0)</f>
        <v>0</v>
      </c>
      <c r="E10" s="40">
        <f t="shared" si="0"/>
        <v>0</v>
      </c>
      <c r="F10" s="41">
        <f>IFERROR(SUMPRODUCT((AVANCE!B$3:B$207=B10)*AVANCE!H$3:H$207)/SUMPRODUCT((AVANCE!B$3:B$207=B10)*AVANCE!G$3:G$207),0)</f>
        <v>0</v>
      </c>
      <c r="G10" s="41">
        <f>IFERROR(SUMPRODUCT((AVANCE!B$3:B$207=B10)*(AVANCE!C$3:C$207="QA")*AVANCE!H$3:H$207)/SUMPRODUCT((AVANCE!B$3:B$207=B10)*(AVANCE!C$3:C$207="QA")*AVANCE!G$3:G$207),0)</f>
        <v>0</v>
      </c>
      <c r="H10" s="41">
        <f>IFERROR(SUMPRODUCT((AVANCE!B$3:B$207=B10)*(AVANCE!C$3:C$207="QC")*AVANCE!H$3:H$207)/SUMPRODUCT((AVANCE!B$3:B$207=B10)*(AVANCE!C$3:C$207="QC")*AVANCE!G$3:G$207),0)</f>
        <v>0</v>
      </c>
    </row>
    <row r="11" spans="1:8" x14ac:dyDescent="0.35">
      <c r="A11" s="38" t="s">
        <v>1273</v>
      </c>
      <c r="B11" s="39"/>
      <c r="C11" s="40">
        <f>IFERROR(COUNTIF(AVANCE!B$3:B$207,B11),0)</f>
        <v>0</v>
      </c>
      <c r="D11" s="40">
        <f>IFERROR(COUNTIFS(AVANCE!B$3:B$207,B11,AVANCE!F$3:F$207,1),0)</f>
        <v>0</v>
      </c>
      <c r="E11" s="40">
        <f t="shared" si="0"/>
        <v>0</v>
      </c>
      <c r="F11" s="41">
        <f>IFERROR(SUMPRODUCT((AVANCE!B$3:B$207=B11)*AVANCE!H$3:H$207)/SUMPRODUCT((AVANCE!B$3:B$207=B11)*AVANCE!G$3:G$207),0)</f>
        <v>0</v>
      </c>
      <c r="G11" s="41">
        <f>IFERROR(SUMPRODUCT((AVANCE!B$3:B$207=B11)*(AVANCE!C$3:C$207="QA")*AVANCE!H$3:H$207)/SUMPRODUCT((AVANCE!B$3:B$207=B11)*(AVANCE!C$3:C$207="QA")*AVANCE!G$3:G$207),0)</f>
        <v>0</v>
      </c>
      <c r="H11" s="41">
        <f>IFERROR(SUMPRODUCT((AVANCE!B$3:B$207=B11)*(AVANCE!C$3:C$207="QC")*AVANCE!H$3:H$207)/SUMPRODUCT((AVANCE!B$3:B$207=B11)*(AVANCE!C$3:C$207="QC")*AVANCE!G$3:G$207),0)</f>
        <v>0</v>
      </c>
    </row>
    <row r="12" spans="1:8" x14ac:dyDescent="0.35">
      <c r="A12" s="38" t="s">
        <v>1274</v>
      </c>
      <c r="B12" s="39"/>
      <c r="C12" s="40">
        <f>IFERROR(COUNTIF(AVANCE!B$3:B$207,B12),0)</f>
        <v>0</v>
      </c>
      <c r="D12" s="40">
        <f>IFERROR(COUNTIFS(AVANCE!B$3:B$207,B12,AVANCE!F$3:F$207,1),0)</f>
        <v>0</v>
      </c>
      <c r="E12" s="40">
        <f t="shared" si="0"/>
        <v>0</v>
      </c>
      <c r="F12" s="41">
        <f>IFERROR(SUMPRODUCT((AVANCE!B$3:B$207=B12)*AVANCE!H$3:H$207)/SUMPRODUCT((AVANCE!B$3:B$207=B12)*AVANCE!G$3:G$207),0)</f>
        <v>0</v>
      </c>
      <c r="G12" s="41">
        <f>IFERROR(SUMPRODUCT((AVANCE!B$3:B$207=B12)*(AVANCE!C$3:C$207="QA")*AVANCE!H$3:H$207)/SUMPRODUCT((AVANCE!B$3:B$207=B12)*(AVANCE!C$3:C$207="QA")*AVANCE!G$3:G$207),0)</f>
        <v>0</v>
      </c>
      <c r="H12" s="41">
        <f>IFERROR(SUMPRODUCT((AVANCE!B$3:B$207=B12)*(AVANCE!C$3:C$207="QC")*AVANCE!H$3:H$207)/SUMPRODUCT((AVANCE!B$3:B$207=B12)*(AVANCE!C$3:C$207="QC")*AVANCE!G$3:G$207),0)</f>
        <v>0</v>
      </c>
    </row>
    <row r="14" spans="1:8" x14ac:dyDescent="0.35">
      <c r="A14" s="42" t="s">
        <v>1275</v>
      </c>
      <c r="B14" s="42" t="s">
        <v>1276</v>
      </c>
      <c r="D14" s="42" t="s">
        <v>42</v>
      </c>
      <c r="E14" s="42" t="s">
        <v>43</v>
      </c>
      <c r="F14" s="42" t="s">
        <v>44</v>
      </c>
      <c r="G14" s="42" t="s">
        <v>1277</v>
      </c>
    </row>
    <row r="15" spans="1:8" x14ac:dyDescent="0.35">
      <c r="A15" s="43" t="s">
        <v>1278</v>
      </c>
      <c r="B15" s="39">
        <f>IFERROR(SUM(C3:C12),0)</f>
        <v>22</v>
      </c>
      <c r="D15" s="44" t="str">
        <f>PLAN_SEMANAL!C3</f>
        <v>S24</v>
      </c>
      <c r="E15" s="44">
        <f>IFERROR(SUMIF(PLAN_SEMANAL!C$3:C$200,"S21",PLAN_SEMANAL!E$3:E$200),0)</f>
        <v>0</v>
      </c>
      <c r="F15" s="44">
        <f>IFERROR(SUMIF(PLAN_SEMANAL!C$3:C$200,"S21",PLAN_SEMANAL!F$3:F$200),0)</f>
        <v>0</v>
      </c>
      <c r="G15" s="45">
        <f t="shared" ref="G15:G20" si="1">IFERROR(F15/E15,0)</f>
        <v>0</v>
      </c>
    </row>
    <row r="16" spans="1:8" x14ac:dyDescent="0.35">
      <c r="A16" s="43" t="s">
        <v>1279</v>
      </c>
      <c r="B16" s="39">
        <f>IFERROR(SUM(D3:D12),0)</f>
        <v>10</v>
      </c>
      <c r="D16" s="44" t="str">
        <f>PLAN_SEMANAL!C4</f>
        <v>S23</v>
      </c>
      <c r="E16" s="44">
        <f>IFERROR(SUMIF(PLAN_SEMANAL!C$3:C$200,"S22",PLAN_SEMANAL!E$3:E$200),0)</f>
        <v>0</v>
      </c>
      <c r="F16" s="44">
        <f>IFERROR(SUMIF(PLAN_SEMANAL!C$3:C$200,"S22",PLAN_SEMANAL!F$3:F$200),0)</f>
        <v>0</v>
      </c>
      <c r="G16" s="45">
        <f t="shared" si="1"/>
        <v>0</v>
      </c>
    </row>
    <row r="17" spans="1:7" x14ac:dyDescent="0.35">
      <c r="A17" s="43" t="s">
        <v>1236</v>
      </c>
      <c r="B17" s="39">
        <f>IFERROR(SUM(E3:E12),0)</f>
        <v>12</v>
      </c>
      <c r="D17" s="44" t="str">
        <f>PLAN_SEMANAL!C5</f>
        <v>S23</v>
      </c>
      <c r="E17" s="44">
        <f>IFERROR(SUMIF(PLAN_SEMANAL!C$3:C$200,"S23",PLAN_SEMANAL!E$3:E$200),0)</f>
        <v>2</v>
      </c>
      <c r="F17" s="44">
        <f>IFERROR(SUMIF(PLAN_SEMANAL!C$3:C$200,"S23",PLAN_SEMANAL!F$3:F$200),0)</f>
        <v>0</v>
      </c>
      <c r="G17" s="45">
        <f t="shared" si="1"/>
        <v>0</v>
      </c>
    </row>
    <row r="18" spans="1:7" x14ac:dyDescent="0.35">
      <c r="A18" s="43" t="s">
        <v>1280</v>
      </c>
      <c r="B18" s="46">
        <f>IFERROR(SUMPRODUCT((AVANCE!A$3:A$206&lt;&gt;"")*AVANCE!G$3:G$206*AVANCE!F$3:F$206)/IFERROR(SUMPRODUCT((AVANCE!A$3:A$206&lt;&gt;"")*AVANCE!G$3:G$206),1),0)</f>
        <v>0.57842750396161779</v>
      </c>
      <c r="D18" s="44" t="str">
        <f>PLAN_SEMANAL!C6</f>
        <v>S24</v>
      </c>
      <c r="E18" s="44">
        <f>IFERROR(SUMIF(PLAN_SEMANAL!C$3:C$200,"S24",PLAN_SEMANAL!E$3:E$200),0)</f>
        <v>2</v>
      </c>
      <c r="F18" s="44">
        <f>IFERROR(SUMIF(PLAN_SEMANAL!C$3:C$200,"S24",PLAN_SEMANAL!F$3:F$200),0)</f>
        <v>1</v>
      </c>
      <c r="G18" s="45">
        <f t="shared" si="1"/>
        <v>0.5</v>
      </c>
    </row>
    <row r="19" spans="1:7" x14ac:dyDescent="0.35">
      <c r="A19" s="43" t="s">
        <v>1281</v>
      </c>
      <c r="B19" s="46">
        <f>IFERROR(SUMPRODUCT((AVANCE!C$3:C$206="QA")*AVANCE!G$3:G$206*AVANCE!F$3:F$206)/IFERROR(SUMPRODUCT((AVANCE!C$3:C$206="QA")*AVANCE!G$3:G$206),1),0)</f>
        <v>0.55555555555555558</v>
      </c>
      <c r="D19" s="44" t="str">
        <f>PLAN_SEMANAL!C7</f>
        <v>S0</v>
      </c>
      <c r="E19" s="44">
        <f>IFERROR(SUMIF(PLAN_SEMANAL!C$3:C$200,"S25",PLAN_SEMANAL!E$3:E$200),0)</f>
        <v>0</v>
      </c>
      <c r="F19" s="44">
        <f>IFERROR(SUMIF(PLAN_SEMANAL!C$3:C$200,"S25",PLAN_SEMANAL!F$3:F$200),0)</f>
        <v>0</v>
      </c>
      <c r="G19" s="45">
        <f t="shared" si="1"/>
        <v>0</v>
      </c>
    </row>
    <row r="20" spans="1:7" x14ac:dyDescent="0.35">
      <c r="A20" s="43" t="s">
        <v>1282</v>
      </c>
      <c r="B20" s="46">
        <f>IFERROR(SUMPRODUCT((AVANCE!C$3:C$206="QC")*AVANCE!G$3:G$206*AVANCE!F$3:F$206)/IFERROR(SUMPRODUCT((AVANCE!C$3:C$206="QC")*AVANCE!G$3:G$206),1),0)</f>
        <v>0.59557075073692978</v>
      </c>
      <c r="D20" s="44" t="str">
        <f>PLAN_SEMANAL!C8</f>
        <v>S0</v>
      </c>
      <c r="E20" s="44">
        <f>IFERROR(SUMIF(PLAN_SEMANAL!C$3:C$200,"S26",PLAN_SEMANAL!E$3:E$200),0)</f>
        <v>0</v>
      </c>
      <c r="F20" s="44">
        <f>IFERROR(SUMIF(PLAN_SEMANAL!C$3:C$200,"S26",PLAN_SEMANAL!F$3:F$200),0)</f>
        <v>0</v>
      </c>
      <c r="G20" s="45">
        <f t="shared" si="1"/>
        <v>0</v>
      </c>
    </row>
    <row r="21" spans="1:7" x14ac:dyDescent="0.35">
      <c r="A21" s="43" t="s">
        <v>1283</v>
      </c>
      <c r="B21" s="39">
        <f>IFERROR(COUNTIF('REGISTRO_NC'!I$3:I$201,"🔴 Abierta"),0)</f>
        <v>2</v>
      </c>
    </row>
    <row r="22" spans="1:7" x14ac:dyDescent="0.35">
      <c r="A22" s="43" t="s">
        <v>1284</v>
      </c>
      <c r="B22" s="39">
        <f>IFERROR(COUNTIF('CERTIFICADOS'!K$3:K$202,"✅ Entregado"),0)</f>
        <v>8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headerFooter>
    <oddFooter>&amp;C_x000D_&amp;1#&amp;"Aptos"&amp;11&amp;K000000 BV_C2_Internal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37474F"/>
  </sheetPr>
  <dimension ref="A1:G41"/>
  <sheetViews>
    <sheetView showGridLines="0" zoomScaleNormal="100" workbookViewId="0">
      <selection activeCell="B46" sqref="B46"/>
    </sheetView>
  </sheetViews>
  <sheetFormatPr baseColWidth="10" defaultColWidth="8.54296875" defaultRowHeight="14.5" x14ac:dyDescent="0.35"/>
  <cols>
    <col min="1" max="1" width="22" customWidth="1"/>
    <col min="2" max="2" width="70" customWidth="1"/>
  </cols>
  <sheetData>
    <row r="1" spans="1:7" ht="31.5" customHeight="1" x14ac:dyDescent="0.35">
      <c r="A1" s="135" t="s">
        <v>1285</v>
      </c>
      <c r="B1" s="97"/>
      <c r="C1" s="97"/>
      <c r="D1" s="97"/>
      <c r="E1" s="97"/>
      <c r="F1" s="97"/>
      <c r="G1" s="97"/>
    </row>
    <row r="2" spans="1:7" ht="21.75" customHeight="1" x14ac:dyDescent="0.35">
      <c r="A2" s="133" t="s">
        <v>1286</v>
      </c>
      <c r="B2" s="97"/>
      <c r="C2" s="97"/>
      <c r="D2" s="97"/>
      <c r="E2" s="97"/>
      <c r="F2" s="97"/>
      <c r="G2" s="97"/>
    </row>
    <row r="3" spans="1:7" ht="19.5" customHeight="1" x14ac:dyDescent="0.35">
      <c r="A3" s="47" t="s">
        <v>1287</v>
      </c>
      <c r="B3" s="134" t="s">
        <v>1288</v>
      </c>
      <c r="C3" s="97"/>
      <c r="D3" s="97"/>
      <c r="E3" s="97"/>
      <c r="F3" s="97"/>
      <c r="G3" s="97"/>
    </row>
    <row r="4" spans="1:7" ht="19.5" customHeight="1" x14ac:dyDescent="0.35">
      <c r="A4" s="47" t="s">
        <v>1289</v>
      </c>
      <c r="B4" s="134" t="s">
        <v>1290</v>
      </c>
      <c r="C4" s="97"/>
      <c r="D4" s="97"/>
      <c r="E4" s="97"/>
      <c r="F4" s="97"/>
      <c r="G4" s="97"/>
    </row>
    <row r="5" spans="1:7" ht="19.5" customHeight="1" x14ac:dyDescent="0.35">
      <c r="A5" s="47" t="s">
        <v>1291</v>
      </c>
      <c r="B5" s="134" t="s">
        <v>1292</v>
      </c>
      <c r="C5" s="97"/>
      <c r="D5" s="97"/>
      <c r="E5" s="97"/>
      <c r="F5" s="97"/>
      <c r="G5" s="97"/>
    </row>
    <row r="6" spans="1:7" ht="19.5" customHeight="1" x14ac:dyDescent="0.35">
      <c r="A6" s="47" t="s">
        <v>1293</v>
      </c>
      <c r="B6" s="134" t="s">
        <v>1294</v>
      </c>
      <c r="C6" s="97"/>
      <c r="D6" s="97"/>
      <c r="E6" s="97"/>
      <c r="F6" s="97"/>
      <c r="G6" s="97"/>
    </row>
    <row r="8" spans="1:7" ht="4.5" customHeight="1" x14ac:dyDescent="0.35"/>
    <row r="9" spans="1:7" ht="21.75" customHeight="1" x14ac:dyDescent="0.35">
      <c r="A9" s="131" t="s">
        <v>1295</v>
      </c>
      <c r="B9" s="97"/>
      <c r="C9" s="97"/>
      <c r="D9" s="97"/>
      <c r="E9" s="97"/>
      <c r="F9" s="97"/>
      <c r="G9" s="97"/>
    </row>
    <row r="10" spans="1:7" ht="15.75" customHeight="1" x14ac:dyDescent="0.35">
      <c r="A10" s="130" t="s">
        <v>1296</v>
      </c>
      <c r="B10" s="97"/>
      <c r="C10" s="97"/>
      <c r="D10" s="97"/>
      <c r="E10" s="97"/>
      <c r="F10" s="97"/>
      <c r="G10" s="97"/>
    </row>
    <row r="11" spans="1:7" ht="15.75" customHeight="1" x14ac:dyDescent="0.35">
      <c r="A11" s="130" t="s">
        <v>1297</v>
      </c>
      <c r="B11" s="97"/>
      <c r="C11" s="97"/>
      <c r="D11" s="97"/>
      <c r="E11" s="97"/>
      <c r="F11" s="97"/>
      <c r="G11" s="97"/>
    </row>
    <row r="12" spans="1:7" ht="15.75" customHeight="1" x14ac:dyDescent="0.35">
      <c r="A12" s="130" t="s">
        <v>1298</v>
      </c>
      <c r="B12" s="97"/>
      <c r="C12" s="97"/>
      <c r="D12" s="97"/>
      <c r="E12" s="97"/>
      <c r="F12" s="97"/>
      <c r="G12" s="97"/>
    </row>
    <row r="13" spans="1:7" ht="15.75" customHeight="1" x14ac:dyDescent="0.35">
      <c r="A13" s="130" t="s">
        <v>1299</v>
      </c>
      <c r="B13" s="97"/>
      <c r="C13" s="97"/>
      <c r="D13" s="97"/>
      <c r="E13" s="97"/>
      <c r="F13" s="97"/>
      <c r="G13" s="97"/>
    </row>
    <row r="14" spans="1:7" ht="15.75" customHeight="1" x14ac:dyDescent="0.35">
      <c r="A14" s="130" t="s">
        <v>1300</v>
      </c>
      <c r="B14" s="97"/>
      <c r="C14" s="97"/>
      <c r="D14" s="97"/>
      <c r="E14" s="97"/>
      <c r="F14" s="97"/>
      <c r="G14" s="97"/>
    </row>
    <row r="15" spans="1:7" ht="15.75" customHeight="1" x14ac:dyDescent="0.35">
      <c r="A15" s="130" t="s">
        <v>1301</v>
      </c>
      <c r="B15" s="97"/>
      <c r="C15" s="97"/>
      <c r="D15" s="97"/>
      <c r="E15" s="97"/>
      <c r="F15" s="97"/>
      <c r="G15" s="97"/>
    </row>
    <row r="16" spans="1:7" ht="15.75" customHeight="1" x14ac:dyDescent="0.35">
      <c r="A16" s="130" t="s">
        <v>1302</v>
      </c>
      <c r="B16" s="97"/>
      <c r="C16" s="97"/>
      <c r="D16" s="97"/>
      <c r="E16" s="97"/>
      <c r="F16" s="97"/>
      <c r="G16" s="97"/>
    </row>
    <row r="17" spans="1:7" ht="15.75" customHeight="1" x14ac:dyDescent="0.35">
      <c r="A17" s="130" t="s">
        <v>1303</v>
      </c>
      <c r="B17" s="97"/>
      <c r="C17" s="97"/>
      <c r="D17" s="97"/>
      <c r="E17" s="97"/>
      <c r="F17" s="97"/>
      <c r="G17" s="97"/>
    </row>
    <row r="18" spans="1:7" ht="15.75" customHeight="1" x14ac:dyDescent="0.35">
      <c r="A18" s="130" t="s">
        <v>1301</v>
      </c>
      <c r="B18" s="97"/>
      <c r="C18" s="97"/>
      <c r="D18" s="97"/>
      <c r="E18" s="97"/>
      <c r="F18" s="97"/>
      <c r="G18" s="97"/>
    </row>
    <row r="19" spans="1:7" ht="15.75" customHeight="1" x14ac:dyDescent="0.35">
      <c r="A19" s="130" t="s">
        <v>1304</v>
      </c>
      <c r="B19" s="97"/>
      <c r="C19" s="97"/>
      <c r="D19" s="97"/>
      <c r="E19" s="97"/>
      <c r="F19" s="97"/>
      <c r="G19" s="97"/>
    </row>
    <row r="20" spans="1:7" ht="15.75" customHeight="1" x14ac:dyDescent="0.35">
      <c r="A20" s="130" t="s">
        <v>1305</v>
      </c>
      <c r="B20" s="97"/>
      <c r="C20" s="97"/>
      <c r="D20" s="97"/>
      <c r="E20" s="97"/>
      <c r="F20" s="97"/>
      <c r="G20" s="97"/>
    </row>
    <row r="21" spans="1:7" ht="15.75" customHeight="1" x14ac:dyDescent="0.35">
      <c r="A21" s="130" t="s">
        <v>1301</v>
      </c>
      <c r="B21" s="97"/>
      <c r="C21" s="97"/>
      <c r="D21" s="97"/>
      <c r="E21" s="97"/>
      <c r="F21" s="97"/>
      <c r="G21" s="97"/>
    </row>
    <row r="22" spans="1:7" ht="15.75" customHeight="1" x14ac:dyDescent="0.35">
      <c r="A22" s="130" t="s">
        <v>1306</v>
      </c>
      <c r="B22" s="97"/>
      <c r="C22" s="97"/>
      <c r="D22" s="97"/>
      <c r="E22" s="97"/>
      <c r="F22" s="97"/>
      <c r="G22" s="97"/>
    </row>
    <row r="23" spans="1:7" ht="15.75" customHeight="1" x14ac:dyDescent="0.35">
      <c r="A23" s="130" t="s">
        <v>1307</v>
      </c>
      <c r="B23" s="97"/>
      <c r="C23" s="97"/>
      <c r="D23" s="97"/>
      <c r="E23" s="97"/>
      <c r="F23" s="97"/>
      <c r="G23" s="97"/>
    </row>
    <row r="24" spans="1:7" ht="15.75" customHeight="1" x14ac:dyDescent="0.35">
      <c r="A24" s="130" t="s">
        <v>1308</v>
      </c>
      <c r="B24" s="97"/>
      <c r="C24" s="97"/>
      <c r="D24" s="97"/>
      <c r="E24" s="97"/>
      <c r="F24" s="97"/>
      <c r="G24" s="97"/>
    </row>
    <row r="25" spans="1:7" ht="15.75" customHeight="1" x14ac:dyDescent="0.35">
      <c r="A25" s="130" t="s">
        <v>1301</v>
      </c>
      <c r="B25" s="97"/>
      <c r="C25" s="97"/>
      <c r="D25" s="97"/>
      <c r="E25" s="97"/>
      <c r="F25" s="97"/>
      <c r="G25" s="97"/>
    </row>
    <row r="26" spans="1:7" ht="15.75" customHeight="1" x14ac:dyDescent="0.35">
      <c r="A26" s="130" t="s">
        <v>1309</v>
      </c>
      <c r="B26" s="97"/>
      <c r="C26" s="97"/>
      <c r="D26" s="97"/>
      <c r="E26" s="97"/>
      <c r="F26" s="97"/>
      <c r="G26" s="97"/>
    </row>
    <row r="27" spans="1:7" ht="15.75" customHeight="1" x14ac:dyDescent="0.35">
      <c r="A27" s="130" t="s">
        <v>1310</v>
      </c>
      <c r="B27" s="97"/>
      <c r="C27" s="97"/>
      <c r="D27" s="97"/>
      <c r="E27" s="97"/>
      <c r="F27" s="97"/>
      <c r="G27" s="97"/>
    </row>
    <row r="28" spans="1:7" ht="15.75" customHeight="1" x14ac:dyDescent="0.35">
      <c r="A28" s="130" t="s">
        <v>1311</v>
      </c>
      <c r="B28" s="97"/>
      <c r="C28" s="97"/>
      <c r="D28" s="97"/>
      <c r="E28" s="97"/>
      <c r="F28" s="97"/>
      <c r="G28" s="97"/>
    </row>
    <row r="29" spans="1:7" ht="15.75" customHeight="1" x14ac:dyDescent="0.35">
      <c r="A29" s="130" t="s">
        <v>1312</v>
      </c>
      <c r="B29" s="97"/>
      <c r="C29" s="97"/>
      <c r="D29" s="97"/>
      <c r="E29" s="97"/>
      <c r="F29" s="97"/>
      <c r="G29" s="97"/>
    </row>
    <row r="30" spans="1:7" ht="15.75" customHeight="1" x14ac:dyDescent="0.35">
      <c r="A30" s="130" t="s">
        <v>1313</v>
      </c>
      <c r="B30" s="97"/>
      <c r="C30" s="97"/>
      <c r="D30" s="97"/>
      <c r="E30" s="97"/>
      <c r="F30" s="97"/>
      <c r="G30" s="97"/>
    </row>
    <row r="33" spans="1:7" x14ac:dyDescent="0.35">
      <c r="A33" s="133" t="s">
        <v>1314</v>
      </c>
      <c r="B33" s="97"/>
      <c r="C33" s="97"/>
      <c r="D33" s="97"/>
      <c r="E33" s="97"/>
      <c r="F33" s="97"/>
      <c r="G33" s="97"/>
    </row>
    <row r="34" spans="1:7" ht="18" customHeight="1" x14ac:dyDescent="0.35">
      <c r="A34" s="48" t="s">
        <v>1315</v>
      </c>
      <c r="B34" s="132" t="s">
        <v>1316</v>
      </c>
      <c r="C34" s="97"/>
      <c r="D34" s="97"/>
      <c r="E34" s="97"/>
      <c r="F34" s="97"/>
      <c r="G34" s="97"/>
    </row>
    <row r="35" spans="1:7" ht="18" customHeight="1" x14ac:dyDescent="0.35">
      <c r="A35" s="49" t="s">
        <v>1317</v>
      </c>
      <c r="B35" s="132" t="s">
        <v>1318</v>
      </c>
      <c r="C35" s="97"/>
      <c r="D35" s="97"/>
      <c r="E35" s="97"/>
      <c r="F35" s="97"/>
      <c r="G35" s="97"/>
    </row>
    <row r="36" spans="1:7" ht="18" customHeight="1" x14ac:dyDescent="0.35">
      <c r="A36" s="48" t="s">
        <v>1319</v>
      </c>
      <c r="B36" s="132" t="s">
        <v>1320</v>
      </c>
      <c r="C36" s="97"/>
      <c r="D36" s="97"/>
      <c r="E36" s="97"/>
      <c r="F36" s="97"/>
      <c r="G36" s="97"/>
    </row>
    <row r="37" spans="1:7" ht="18" customHeight="1" x14ac:dyDescent="0.35">
      <c r="A37" s="49" t="s">
        <v>1321</v>
      </c>
      <c r="B37" s="132" t="s">
        <v>1322</v>
      </c>
      <c r="C37" s="97"/>
      <c r="D37" s="97"/>
      <c r="E37" s="97"/>
      <c r="F37" s="97"/>
      <c r="G37" s="97"/>
    </row>
    <row r="38" spans="1:7" ht="18" customHeight="1" x14ac:dyDescent="0.35">
      <c r="A38" s="48" t="s">
        <v>1323</v>
      </c>
      <c r="B38" s="132" t="s">
        <v>1324</v>
      </c>
      <c r="C38" s="97"/>
      <c r="D38" s="97"/>
      <c r="E38" s="97"/>
      <c r="F38" s="97"/>
      <c r="G38" s="97"/>
    </row>
    <row r="39" spans="1:7" ht="18" customHeight="1" x14ac:dyDescent="0.35">
      <c r="A39" s="49" t="s">
        <v>1325</v>
      </c>
      <c r="B39" s="132" t="s">
        <v>1326</v>
      </c>
      <c r="C39" s="97"/>
      <c r="D39" s="97"/>
      <c r="E39" s="97"/>
      <c r="F39" s="97"/>
      <c r="G39" s="97"/>
    </row>
    <row r="40" spans="1:7" ht="18" customHeight="1" x14ac:dyDescent="0.35">
      <c r="A40" s="48" t="s">
        <v>1327</v>
      </c>
      <c r="B40" s="132" t="s">
        <v>1328</v>
      </c>
      <c r="C40" s="97"/>
      <c r="D40" s="97"/>
      <c r="E40" s="97"/>
      <c r="F40" s="97"/>
      <c r="G40" s="97"/>
    </row>
    <row r="41" spans="1:7" ht="18" customHeight="1" x14ac:dyDescent="0.35">
      <c r="A41" s="49" t="s">
        <v>1329</v>
      </c>
      <c r="B41" s="132" t="s">
        <v>1330</v>
      </c>
      <c r="C41" s="97"/>
      <c r="D41" s="97"/>
      <c r="E41" s="97"/>
      <c r="F41" s="97"/>
      <c r="G41" s="97"/>
    </row>
  </sheetData>
  <mergeCells count="37">
    <mergeCell ref="B6:G6"/>
    <mergeCell ref="A1:G1"/>
    <mergeCell ref="B36:G36"/>
    <mergeCell ref="B5:G5"/>
    <mergeCell ref="B41:G41"/>
    <mergeCell ref="B35:G35"/>
    <mergeCell ref="B4:G4"/>
    <mergeCell ref="A16:G16"/>
    <mergeCell ref="A25:G25"/>
    <mergeCell ref="B3:G3"/>
    <mergeCell ref="A18:G18"/>
    <mergeCell ref="A27:G27"/>
    <mergeCell ref="A21:G21"/>
    <mergeCell ref="A12:G12"/>
    <mergeCell ref="A26:G26"/>
    <mergeCell ref="A2:G2"/>
    <mergeCell ref="A9:G9"/>
    <mergeCell ref="B37:G37"/>
    <mergeCell ref="A30:G30"/>
    <mergeCell ref="A24:G24"/>
    <mergeCell ref="B40:G40"/>
    <mergeCell ref="A15:G15"/>
    <mergeCell ref="A11:G11"/>
    <mergeCell ref="A33:G33"/>
    <mergeCell ref="B39:G39"/>
    <mergeCell ref="A23:G23"/>
    <mergeCell ref="A10:G10"/>
    <mergeCell ref="A28:G28"/>
    <mergeCell ref="B38:G38"/>
    <mergeCell ref="A13:G13"/>
    <mergeCell ref="B34:G34"/>
    <mergeCell ref="A14:G14"/>
    <mergeCell ref="A17:G17"/>
    <mergeCell ref="A22:G22"/>
    <mergeCell ref="A20:G20"/>
    <mergeCell ref="A29:G29"/>
    <mergeCell ref="A19:G19"/>
  </mergeCells>
  <pageMargins left="0.75" right="0.75" top="1" bottom="1" header="0.511811023622047" footer="0.511811023622047"/>
  <pageSetup paperSize="9" orientation="portrait" horizontalDpi="300" verticalDpi="300"/>
  <headerFooter>
    <oddFooter>&amp;C_x000D_&amp;1#&amp;"Aptos"&amp;11&amp;K000000 BV_C2_Internal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DASHBOARD_PRO</vt:lpstr>
      <vt:lpstr>MASTER_ACTIVIDADES</vt:lpstr>
      <vt:lpstr>QC_DETALLE</vt:lpstr>
      <vt:lpstr>AVANCE</vt:lpstr>
      <vt:lpstr>PLAN_SEMANAL</vt:lpstr>
      <vt:lpstr>CERTIFICADOS</vt:lpstr>
      <vt:lpstr>CONSOLIDADO</vt:lpstr>
      <vt:lpstr>REGISTRO_NC</vt:lpstr>
      <vt:lpstr>CALC_DATA</vt:lpstr>
      <vt:lpstr>INSTRUCCIONES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CONTROL QAQC</dc:title>
  <dc:subject/>
  <dc:creator>openpyxl</dc:creator>
  <cp:keywords>QAQC</cp:keywords>
  <dc:description/>
  <cp:lastModifiedBy>YESID ALFONSO CRUZ RINCON</cp:lastModifiedBy>
  <cp:revision>2</cp:revision>
  <dcterms:created xsi:type="dcterms:W3CDTF">2026-05-27T01:33:42Z</dcterms:created>
  <dcterms:modified xsi:type="dcterms:W3CDTF">2026-06-05T19:08:38Z</dcterms:modified>
  <cp:category>PROYECTOS QAQC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0bb4b1-c353-4a8c-aa94-59f555332b5a_Enabled">
    <vt:lpwstr>true</vt:lpwstr>
  </property>
  <property fmtid="{D5CDD505-2E9C-101B-9397-08002B2CF9AE}" pid="3" name="MSIP_Label_c80bb4b1-c353-4a8c-aa94-59f555332b5a_SetDate">
    <vt:lpwstr>2026-06-02T14:28:11Z</vt:lpwstr>
  </property>
  <property fmtid="{D5CDD505-2E9C-101B-9397-08002B2CF9AE}" pid="4" name="MSIP_Label_c80bb4b1-c353-4a8c-aa94-59f555332b5a_Method">
    <vt:lpwstr>Standard</vt:lpwstr>
  </property>
  <property fmtid="{D5CDD505-2E9C-101B-9397-08002B2CF9AE}" pid="5" name="MSIP_Label_c80bb4b1-c353-4a8c-aa94-59f555332b5a_Name">
    <vt:lpwstr>C2 - Internal</vt:lpwstr>
  </property>
  <property fmtid="{D5CDD505-2E9C-101B-9397-08002B2CF9AE}" pid="6" name="MSIP_Label_c80bb4b1-c353-4a8c-aa94-59f555332b5a_SiteId">
    <vt:lpwstr>fffad414-b6a3-4f32-a9bd-42d28fc811f1</vt:lpwstr>
  </property>
  <property fmtid="{D5CDD505-2E9C-101B-9397-08002B2CF9AE}" pid="7" name="MSIP_Label_c80bb4b1-c353-4a8c-aa94-59f555332b5a_ActionId">
    <vt:lpwstr>4151f5c2-d995-492d-a21c-9ce662739664</vt:lpwstr>
  </property>
  <property fmtid="{D5CDD505-2E9C-101B-9397-08002B2CF9AE}" pid="8" name="MSIP_Label_c80bb4b1-c353-4a8c-aa94-59f555332b5a_ContentBits">
    <vt:lpwstr>2</vt:lpwstr>
  </property>
  <property fmtid="{D5CDD505-2E9C-101B-9397-08002B2CF9AE}" pid="9" name="MSIP_Label_c80bb4b1-c353-4a8c-aa94-59f555332b5a_Tag">
    <vt:lpwstr>10, 3, 0, 1</vt:lpwstr>
  </property>
</Properties>
</file>